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<sst xmlns="http://schemas.openxmlformats.org/spreadsheetml/2006/main" count="5" uniqueCount="5">
  <si>
    <t>DIMENSIONE</t>
  </si>
  <si>
    <t>CAPITALE UMANO</t>
  </si>
  <si>
    <t>CONNETTIVITÀ</t>
  </si>
  <si>
    <t>INTEGRAZIONE DELLE TECNOLOGIE DIGITALI</t>
  </si>
  <si>
    <t>SERVIZI PUBBLICI DIGITALI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</si>
</sst>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&quot;Sì&quot;;&quot;Sì&quot;;&quot;No&quot;"/>
    <numFmt numFmtId="166" formatCode="h.mm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376091"/>
        <bgColor rgb="FF376091"/>
      </patternFill>
    </fill>
  </fills>
  <borders count="7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textRotation="90" wrapText="1"/>
    </xf>
    <xf borderId="0" fillId="2" fontId="1" numFmtId="0" xfId="0" applyAlignment="1" applyFont="1">
      <alignment horizontal="center" readingOrder="0" shrinkToFit="0" textRotation="90" wrapText="1"/>
    </xf>
    <xf borderId="2" fillId="0" fontId="2" numFmtId="0" xfId="0" applyAlignment="1" applyBorder="1" applyFont="1">
      <alignment horizontal="center" readingOrder="0" textRotation="90" vertical="center"/>
    </xf>
    <xf borderId="3" fillId="0" fontId="2" numFmtId="0" xfId="0" applyAlignment="1" applyBorder="1" applyFont="1">
      <alignment readingOrder="0" shrinkToFit="0" vertical="bottom" wrapText="0"/>
    </xf>
    <xf borderId="3" fillId="0" fontId="2" numFmtId="10" xfId="0" applyAlignment="1" applyBorder="1" applyFont="1" applyNumberFormat="1">
      <alignment horizontal="center" readingOrder="0" shrinkToFit="0" vertical="bottom" wrapText="0"/>
    </xf>
    <xf borderId="0" fillId="0" fontId="2" numFmtId="10" xfId="0" applyAlignment="1" applyFont="1" applyNumberFormat="1">
      <alignment horizontal="center" readingOrder="0" shrinkToFit="0" vertical="bottom" wrapText="0"/>
    </xf>
    <xf borderId="4" fillId="0" fontId="3" numFmtId="0" xfId="0" applyBorder="1" applyFont="1"/>
    <xf borderId="5" fillId="0" fontId="2" numFmtId="0" xfId="0" applyAlignment="1" applyBorder="1" applyFont="1">
      <alignment readingOrder="0" shrinkToFit="0" vertical="bottom" wrapText="0"/>
    </xf>
    <xf borderId="5" fillId="0" fontId="2" numFmtId="10" xfId="0" applyAlignment="1" applyBorder="1" applyFont="1" applyNumberForma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5" fillId="0" fontId="2" numFmtId="4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5" fillId="0" fontId="2" numFmtId="9" xfId="0" applyAlignment="1" applyBorder="1" applyFont="1" applyNumberFormat="1">
      <alignment horizontal="center" readingOrder="0" shrinkToFit="0" vertical="bottom" wrapText="0"/>
    </xf>
    <xf borderId="0" fillId="0" fontId="2" numFmtId="9" xfId="0" applyAlignment="1" applyFont="1" applyNumberFormat="1">
      <alignment horizontal="center" readingOrder="0" shrinkToFit="0" vertical="bottom" wrapText="0"/>
    </xf>
    <xf borderId="5" fillId="0" fontId="2" numFmtId="3" xfId="0" applyAlignment="1" applyBorder="1" applyFont="1" applyNumberFormat="1">
      <alignment horizontal="center" readingOrder="0" shrinkToFit="0" vertical="bottom" wrapText="0"/>
    </xf>
    <xf borderId="5" fillId="0" fontId="2" numFmtId="164" xfId="0" applyAlignment="1" applyBorder="1" applyFont="1" applyNumberFormat="1">
      <alignment horizontal="center" readingOrder="0" shrinkToFit="0" vertical="bottom" wrapText="0"/>
    </xf>
    <xf borderId="6" fillId="0" fontId="3" numFmtId="0" xfId="0" applyBorder="1" applyFont="1"/>
    <xf borderId="4" fillId="0" fontId="2" numFmtId="0" xfId="0" applyAlignment="1" applyBorder="1" applyFont="1">
      <alignment horizontal="center" readingOrder="0" textRotation="90" vertical="center"/>
    </xf>
    <xf borderId="5" fillId="0" fontId="2" numFmtId="165" xfId="0" applyAlignment="1" applyBorder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textRotation="90" vertical="center" wrapText="1"/>
    </xf>
    <xf borderId="0" fillId="0" fontId="2" numFmtId="166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textRotation="90" vertical="center" wrapText="1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0.75"/>
    <col customWidth="1" min="3" max="18" width="10.38"/>
  </cols>
  <sheetData>
    <row r="1" ht="107.25" customHeight="1">
      <c r="A1" s="1" t="s">
        <v>0</v>
      </c>
      <c r="B1" s="1" t="str">
        <f>IFERROR(__xludf.DUMMYFUNCTION("IMPORTRANGE(""https://docs.google.com/spreadsheets/d/1gWBao7PL_nNVeJLospxYq-cpBYqqs_OziNcuM7ZsBUU/edit#gid=494637848"",""foglio1!b1:b61"")"),"INDICATORE")</f>
        <v>INDICATORE</v>
      </c>
      <c r="C1" s="2" t="str">
        <f>IFERROR(__xludf.DUMMYFUNCTION("IMPORTRANGE(""https://docs.google.com/spreadsheets/d/1gWBao7PL_nNVeJLospxYq-cpBYqqs_OziNcuM7ZsBUU/edit#gid=494637848"",""foglio1!mt1:mt61"")"),"PARMA")</f>
        <v>PARMA</v>
      </c>
      <c r="D1" s="2" t="str">
        <f>IFERROR(__xludf.DUMMYFUNCTION("IMPORTRANGE(""https://docs.google.com/spreadsheets/d/1gWBao7PL_nNVeJLospxYq-cpBYqqs_OziNcuM7ZsBUU/edit#gid=494637848"",""foglio1!mu1:mu61"")"),"SINGOLO (NO UNIONE)")</f>
        <v>SINGOLO (NO UNIONE)</v>
      </c>
      <c r="E1" s="2" t="str">
        <f>IFERROR(__xludf.DUMMYFUNCTION("IMPORTRANGE(""https://docs.google.com/spreadsheets/d/1gWBao7PL_nNVeJLospxYq-cpBYqqs_OziNcuM7ZsBUU/edit#gid=494637848"",""foglio1!mv1:mv61"")"),"PROV. PR")</f>
        <v>PROV. PR</v>
      </c>
      <c r="F1" s="2" t="str">
        <f>IFERROR(__xludf.DUMMYFUNCTION("IMPORTRANGE(""https://docs.google.com/spreadsheets/d/1gWBao7PL_nNVeJLospxYq-cpBYqqs_OziNcuM7ZsBUU/edit#gid=494637848"",""foglio1!mw1:mw61"")"),"COMUNI CAPOLUOGO")</f>
        <v>COMUNI CAPOLUOGO</v>
      </c>
      <c r="G1" s="2" t="str">
        <f>IFERROR(__xludf.DUMMYFUNCTION("IMPORTRANGE(""https://docs.google.com/spreadsheets/d/1gWBao7PL_nNVeJLospxYq-cpBYqqs_OziNcuM7ZsBUU/edit#gid=494637848"",""foglio1!mx1:mx61"")"),"EMILIA-ROMAGNA")</f>
        <v>EMILIA-ROMAGNA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4" t="s">
        <v>1</v>
      </c>
      <c r="B2" s="5" t="str">
        <f>IFERROR(__xludf.DUMMYFUNCTION("""COMPUTED_VALUE"""),"Numero di allievi formati con i corsi e iniziative PEI sul totale degli esclusi digitali")</f>
        <v>Numero di allievi formati con i corsi e iniziative PEI sul totale degli esclusi digitali</v>
      </c>
      <c r="C2" s="6">
        <f>IFERROR(__xludf.DUMMYFUNCTION("""COMPUTED_VALUE"""),0.0442)</f>
        <v>0.0442</v>
      </c>
      <c r="D2" s="6" t="str">
        <f>IFERROR(__xludf.DUMMYFUNCTION("""COMPUTED_VALUE"""),"-")</f>
        <v>-</v>
      </c>
      <c r="E2" s="6">
        <f>IFERROR(__xludf.DUMMYFUNCTION("""COMPUTED_VALUE"""),0.0358)</f>
        <v>0.0358</v>
      </c>
      <c r="F2" s="6">
        <f>IFERROR(__xludf.DUMMYFUNCTION("""COMPUTED_VALUE"""),0.0817)</f>
        <v>0.0817</v>
      </c>
      <c r="G2" s="6">
        <f>IFERROR(__xludf.DUMMYFUNCTION("""COMPUTED_VALUE"""),0.0601)</f>
        <v>0.0601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>
      <c r="A3" s="8"/>
      <c r="B3" s="9" t="str">
        <f>IFERROR(__xludf.DUMMYFUNCTION("""COMPUTED_VALUE"""),"Numero di donne formate con i corsi e iniziative PEI sul totale dei formati (per comune)")</f>
        <v>Numero di donne formate con i corsi e iniziative PEI sul totale dei formati (per comune)</v>
      </c>
      <c r="C3" s="10">
        <f>IFERROR(__xludf.DUMMYFUNCTION("""COMPUTED_VALUE"""),0.736)</f>
        <v>0.736</v>
      </c>
      <c r="D3" s="11" t="str">
        <f>IFERROR(__xludf.DUMMYFUNCTION("""COMPUTED_VALUE"""),"-")</f>
        <v>-</v>
      </c>
      <c r="E3" s="10">
        <f>IFERROR(__xludf.DUMMYFUNCTION("""COMPUTED_VALUE"""),0.726)</f>
        <v>0.726</v>
      </c>
      <c r="F3" s="10">
        <f>IFERROR(__xludf.DUMMYFUNCTION("""COMPUTED_VALUE"""),0.709)</f>
        <v>0.709</v>
      </c>
      <c r="G3" s="10">
        <f>IFERROR(__xludf.DUMMYFUNCTION("""COMPUTED_VALUE"""),0.695)</f>
        <v>0.695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>
      <c r="A4" s="8"/>
      <c r="B4" s="9" t="str">
        <f>IFERROR(__xludf.DUMMYFUNCTION("""COMPUTED_VALUE"""),"Partecipanti a corsi di formazione finanziati da FSE con almeno un modulo ""digitale"" ogni 1000 abitanti 14-64 anni")</f>
        <v>Partecipanti a corsi di formazione finanziati da FSE con almeno un modulo "digitale" ogni 1000 abitanti 14-64 anni</v>
      </c>
      <c r="C4" s="12">
        <f>IFERROR(__xludf.DUMMYFUNCTION("""COMPUTED_VALUE"""),25.03)</f>
        <v>25.03</v>
      </c>
      <c r="D4" s="12" t="str">
        <f>IFERROR(__xludf.DUMMYFUNCTION("""COMPUTED_VALUE"""),"-")</f>
        <v>-</v>
      </c>
      <c r="E4" s="12">
        <f>IFERROR(__xludf.DUMMYFUNCTION("""COMPUTED_VALUE"""),20.85)</f>
        <v>20.85</v>
      </c>
      <c r="F4" s="12">
        <f>IFERROR(__xludf.DUMMYFUNCTION("""COMPUTED_VALUE"""),30.01)</f>
        <v>30.01</v>
      </c>
      <c r="G4" s="12">
        <f>IFERROR(__xludf.DUMMYFUNCTION("""COMPUTED_VALUE"""),24.66)</f>
        <v>24.66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>
      <c r="A5" s="8"/>
      <c r="B5" s="9" t="str">
        <f>IFERROR(__xludf.DUMMYFUNCTION("""COMPUTED_VALUE"""),"Partecipanti donne a corsi di formazione finanziati da FSE con almeno un modulo ""digitale"" su totale dei formati (per comune)")</f>
        <v>Partecipanti donne a corsi di formazione finanziati da FSE con almeno un modulo "digitale" su totale dei formati (per comune)</v>
      </c>
      <c r="C5" s="10">
        <f>IFERROR(__xludf.DUMMYFUNCTION("""COMPUTED_VALUE"""),0.529)</f>
        <v>0.529</v>
      </c>
      <c r="D5" s="14" t="str">
        <f>IFERROR(__xludf.DUMMYFUNCTION("""COMPUTED_VALUE"""),"-")</f>
        <v>-</v>
      </c>
      <c r="E5" s="10">
        <f>IFERROR(__xludf.DUMMYFUNCTION("""COMPUTED_VALUE"""),0.52)</f>
        <v>0.52</v>
      </c>
      <c r="F5" s="10">
        <f>IFERROR(__xludf.DUMMYFUNCTION("""COMPUTED_VALUE"""),0.487)</f>
        <v>0.487</v>
      </c>
      <c r="G5" s="10">
        <f>IFERROR(__xludf.DUMMYFUNCTION("""COMPUTED_VALUE"""),0.491)</f>
        <v>0.491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>
      <c r="A6" s="8"/>
      <c r="B6" s="9" t="str">
        <f>IFERROR(__xludf.DUMMYFUNCTION("""COMPUTED_VALUE"""),"Partecipanti alle attività dei punti DIGITALE FACILE ogni 100 maggiorenni residenti")</f>
        <v>Partecipanti alle attività dei punti DIGITALE FACILE ogni 100 maggiorenni residenti</v>
      </c>
      <c r="C6" s="12">
        <f>IFERROR(__xludf.DUMMYFUNCTION("""COMPUTED_VALUE"""),5.5)</f>
        <v>5.5</v>
      </c>
      <c r="D6" s="12" t="str">
        <f>IFERROR(__xludf.DUMMYFUNCTION("""COMPUTED_VALUE"""),"-")</f>
        <v>-</v>
      </c>
      <c r="E6" s="12">
        <f>IFERROR(__xludf.DUMMYFUNCTION("""COMPUTED_VALUE"""),2.82)</f>
        <v>2.82</v>
      </c>
      <c r="F6" s="12">
        <f>IFERROR(__xludf.DUMMYFUNCTION("""COMPUTED_VALUE"""),4.86)</f>
        <v>4.86</v>
      </c>
      <c r="G6" s="12">
        <f>IFERROR(__xludf.DUMMYFUNCTION("""COMPUTED_VALUE"""),3.32)</f>
        <v>3.32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>
      <c r="A7" s="8"/>
      <c r="B7" s="9" t="str">
        <f>IFERROR(__xludf.DUMMYFUNCTION("""COMPUTED_VALUE"""),"Alunne femmine STEM sul totale degli studenti STEM (scuole superiori)")</f>
        <v>Alunne femmine STEM sul totale degli studenti STEM (scuole superiori)</v>
      </c>
      <c r="C7" s="10">
        <f>IFERROR(__xludf.DUMMYFUNCTION("""COMPUTED_VALUE"""),0.38)</f>
        <v>0.38</v>
      </c>
      <c r="D7" s="14" t="str">
        <f>IFERROR(__xludf.DUMMYFUNCTION("""COMPUTED_VALUE"""),"-")</f>
        <v>-</v>
      </c>
      <c r="E7" s="10">
        <f>IFERROR(__xludf.DUMMYFUNCTION("""COMPUTED_VALUE"""),0.368)</f>
        <v>0.368</v>
      </c>
      <c r="F7" s="10">
        <f>IFERROR(__xludf.DUMMYFUNCTION("""COMPUTED_VALUE"""),0.346)</f>
        <v>0.346</v>
      </c>
      <c r="G7" s="10">
        <f>IFERROR(__xludf.DUMMYFUNCTION("""COMPUTED_VALUE"""),0.38)</f>
        <v>0.38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>
      <c r="A8" s="8"/>
      <c r="B8" s="9" t="str">
        <f>IFERROR(__xludf.DUMMYFUNCTION("""COMPUTED_VALUE"""),"Numero di sedi con servizi di facilitazione / assistenza digitale attivi ogni 100 esclusi digitali")</f>
        <v>Numero di sedi con servizi di facilitazione / assistenza digitale attivi ogni 100 esclusi digitali</v>
      </c>
      <c r="C8" s="12">
        <f>IFERROR(__xludf.DUMMYFUNCTION("""COMPUTED_VALUE"""),0.16)</f>
        <v>0.16</v>
      </c>
      <c r="D8" s="12" t="str">
        <f>IFERROR(__xludf.DUMMYFUNCTION("""COMPUTED_VALUE"""),"-")</f>
        <v>-</v>
      </c>
      <c r="E8" s="12">
        <f>IFERROR(__xludf.DUMMYFUNCTION("""COMPUTED_VALUE"""),0.13)</f>
        <v>0.13</v>
      </c>
      <c r="F8" s="12">
        <f>IFERROR(__xludf.DUMMYFUNCTION("""COMPUTED_VALUE"""),0.19)</f>
        <v>0.19</v>
      </c>
      <c r="G8" s="12">
        <f>IFERROR(__xludf.DUMMYFUNCTION("""COMPUTED_VALUE"""),0.18)</f>
        <v>0.18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>
      <c r="A9" s="8"/>
      <c r="B9" s="9" t="str">
        <f>IFERROR(__xludf.DUMMYFUNCTION("""COMPUTED_VALUE"""),"Numero laureati ogni 1000 residenti &gt; 8 anni")</f>
        <v>Numero laureati ogni 1000 residenti &gt; 8 anni</v>
      </c>
      <c r="C9" s="12">
        <f>IFERROR(__xludf.DUMMYFUNCTION("""COMPUTED_VALUE"""),190.22)</f>
        <v>190.22</v>
      </c>
      <c r="D9" s="12" t="str">
        <f>IFERROR(__xludf.DUMMYFUNCTION("""COMPUTED_VALUE"""),"-")</f>
        <v>-</v>
      </c>
      <c r="E9" s="12">
        <f>IFERROR(__xludf.DUMMYFUNCTION("""COMPUTED_VALUE"""),133.82)</f>
        <v>133.82</v>
      </c>
      <c r="F9" s="12">
        <f>IFERROR(__xludf.DUMMYFUNCTION("""COMPUTED_VALUE"""),178.4)</f>
        <v>178.4</v>
      </c>
      <c r="G9" s="12">
        <f>IFERROR(__xludf.DUMMYFUNCTION("""COMPUTED_VALUE"""),125.02)</f>
        <v>125.02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>
      <c r="A10" s="8"/>
      <c r="B10" s="9" t="str">
        <f>IFERROR(__xludf.DUMMYFUNCTION("""COMPUTED_VALUE"""),"Iscritti all'università a corsi di laurea STEM ogni 100 residenti 19-34 anni (stimato)")</f>
        <v>Iscritti all'università a corsi di laurea STEM ogni 100 residenti 19-34 anni (stimato)</v>
      </c>
      <c r="C10" s="12">
        <f>IFERROR(__xludf.DUMMYFUNCTION("""COMPUTED_VALUE"""),5.82)</f>
        <v>5.82</v>
      </c>
      <c r="D10" s="12" t="str">
        <f>IFERROR(__xludf.DUMMYFUNCTION("""COMPUTED_VALUE"""),"-")</f>
        <v>-</v>
      </c>
      <c r="E10" s="12">
        <f>IFERROR(__xludf.DUMMYFUNCTION("""COMPUTED_VALUE"""),5.34)</f>
        <v>5.34</v>
      </c>
      <c r="F10" s="12">
        <f>IFERROR(__xludf.DUMMYFUNCTION("""COMPUTED_VALUE"""),5.62)</f>
        <v>5.62</v>
      </c>
      <c r="G10" s="12">
        <f>IFERROR(__xludf.DUMMYFUNCTION("""COMPUTED_VALUE"""),4.98)</f>
        <v>4.98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>
      <c r="A11" s="8"/>
      <c r="B11" s="9" t="str">
        <f>IFERROR(__xludf.DUMMYFUNCTION("""COMPUTED_VALUE"""),"% Addetti nelle Unità locali innovative connesse all'economia digitale sul totale addetti")</f>
        <v>% Addetti nelle Unità locali innovative connesse all'economia digitale sul totale addetti</v>
      </c>
      <c r="C11" s="10">
        <f>IFERROR(__xludf.DUMMYFUNCTION("""COMPUTED_VALUE"""),0.071)</f>
        <v>0.071</v>
      </c>
      <c r="D11" s="14" t="str">
        <f>IFERROR(__xludf.DUMMYFUNCTION("""COMPUTED_VALUE"""),"-")</f>
        <v>-</v>
      </c>
      <c r="E11" s="10">
        <f>IFERROR(__xludf.DUMMYFUNCTION("""COMPUTED_VALUE"""),0.058)</f>
        <v>0.058</v>
      </c>
      <c r="F11" s="10">
        <f>IFERROR(__xludf.DUMMYFUNCTION("""COMPUTED_VALUE"""),0.087)</f>
        <v>0.087</v>
      </c>
      <c r="G11" s="10">
        <f>IFERROR(__xludf.DUMMYFUNCTION("""COMPUTED_VALUE"""),0.063)</f>
        <v>0.063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>
      <c r="A12" s="8"/>
      <c r="B12" s="9" t="str">
        <f>IFERROR(__xludf.DUMMYFUNCTION("""COMPUTED_VALUE"""),"% Addetti nel settore ICT sul totale addetti")</f>
        <v>% Addetti nel settore ICT sul totale addetti</v>
      </c>
      <c r="C12" s="10">
        <f>IFERROR(__xludf.DUMMYFUNCTION("""COMPUTED_VALUE"""),0.032)</f>
        <v>0.032</v>
      </c>
      <c r="D12" s="14" t="str">
        <f>IFERROR(__xludf.DUMMYFUNCTION("""COMPUTED_VALUE"""),"-")</f>
        <v>-</v>
      </c>
      <c r="E12" s="10">
        <f>IFERROR(__xludf.DUMMYFUNCTION("""COMPUTED_VALUE"""),0.03)</f>
        <v>0.03</v>
      </c>
      <c r="F12" s="10">
        <f>IFERROR(__xludf.DUMMYFUNCTION("""COMPUTED_VALUE"""),0.048)</f>
        <v>0.048</v>
      </c>
      <c r="G12" s="10">
        <f>IFERROR(__xludf.DUMMYFUNCTION("""COMPUTED_VALUE"""),0.035)</f>
        <v>0.035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>
      <c r="A13" s="8"/>
      <c r="B13" s="9" t="str">
        <f>IFERROR(__xludf.DUMMYFUNCTION("""COMPUTED_VALUE"""),"Numero di servizi erogati dagli spazi dell'innovazione per la crescita digitale del territorio ogni 1000 residenti")</f>
        <v>Numero di servizi erogati dagli spazi dell'innovazione per la crescita digitale del territorio ogni 1000 residenti</v>
      </c>
      <c r="C13" s="12">
        <f>IFERROR(__xludf.DUMMYFUNCTION("""COMPUTED_VALUE"""),0.69)</f>
        <v>0.69</v>
      </c>
      <c r="D13" s="12" t="str">
        <f>IFERROR(__xludf.DUMMYFUNCTION("""COMPUTED_VALUE"""),"-")</f>
        <v>-</v>
      </c>
      <c r="E13" s="12">
        <f>IFERROR(__xludf.DUMMYFUNCTION("""COMPUTED_VALUE"""),0.57)</f>
        <v>0.57</v>
      </c>
      <c r="F13" s="12">
        <f>IFERROR(__xludf.DUMMYFUNCTION("""COMPUTED_VALUE"""),0.88)</f>
        <v>0.88</v>
      </c>
      <c r="G13" s="12">
        <f>IFERROR(__xludf.DUMMYFUNCTION("""COMPUTED_VALUE"""),0.73)</f>
        <v>0.73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>
      <c r="A14" s="8"/>
      <c r="B14" s="9" t="str">
        <f>IFERROR(__xludf.DUMMYFUNCTION("""COMPUTED_VALUE"""),"Numero di fan degli account Facebook generali attivi dei Comuni ogni 100 residenti")</f>
        <v>Numero di fan degli account Facebook generali attivi dei Comuni ogni 100 residenti</v>
      </c>
      <c r="C14" s="12">
        <f>IFERROR(__xludf.DUMMYFUNCTION("""COMPUTED_VALUE"""),21.39)</f>
        <v>21.39</v>
      </c>
      <c r="D14" s="12" t="str">
        <f>IFERROR(__xludf.DUMMYFUNCTION("""COMPUTED_VALUE"""),"-")</f>
        <v>-</v>
      </c>
      <c r="E14" s="12">
        <f>IFERROR(__xludf.DUMMYFUNCTION("""COMPUTED_VALUE"""),39.88)</f>
        <v>39.88</v>
      </c>
      <c r="F14" s="12">
        <f>IFERROR(__xludf.DUMMYFUNCTION("""COMPUTED_VALUE"""),36.16)</f>
        <v>36.16</v>
      </c>
      <c r="G14" s="12">
        <f>IFERROR(__xludf.DUMMYFUNCTION("""COMPUTED_VALUE"""),47.5)</f>
        <v>47.5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>
      <c r="A15" s="8"/>
      <c r="B15" s="9" t="str">
        <f>IFERROR(__xludf.DUMMYFUNCTION("""COMPUTED_VALUE"""),"Indice di social networking (presenza nei principali social network)")</f>
        <v>Indice di social networking (presenza nei principali social network)</v>
      </c>
      <c r="C15" s="16">
        <f>IFERROR(__xludf.DUMMYFUNCTION("""COMPUTED_VALUE"""),1.0)</f>
        <v>1</v>
      </c>
      <c r="D15" s="14" t="str">
        <f>IFERROR(__xludf.DUMMYFUNCTION("""COMPUTED_VALUE"""),"-")</f>
        <v>-</v>
      </c>
      <c r="E15" s="16">
        <f>IFERROR(__xludf.DUMMYFUNCTION("""COMPUTED_VALUE"""),0.57)</f>
        <v>0.57</v>
      </c>
      <c r="F15" s="16">
        <f>IFERROR(__xludf.DUMMYFUNCTION("""COMPUTED_VALUE"""),0.98)</f>
        <v>0.98</v>
      </c>
      <c r="G15" s="16">
        <f>IFERROR(__xludf.DUMMYFUNCTION("""COMPUTED_VALUE"""),0.63)</f>
        <v>0.63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>
      <c r="A16" s="8"/>
      <c r="B16" s="9" t="str">
        <f>IFERROR(__xludf.DUMMYFUNCTION("""COMPUTED_VALUE"""),"Numero di attivi su FSE ogni 100 residenti maggiorenni")</f>
        <v>Numero di attivi su FSE ogni 100 residenti maggiorenni</v>
      </c>
      <c r="C16" s="12">
        <f>IFERROR(__xludf.DUMMYFUNCTION("""COMPUTED_VALUE"""),90.76)</f>
        <v>90.76</v>
      </c>
      <c r="D16" s="12" t="str">
        <f>IFERROR(__xludf.DUMMYFUNCTION("""COMPUTED_VALUE"""),"-")</f>
        <v>-</v>
      </c>
      <c r="E16" s="12">
        <f>IFERROR(__xludf.DUMMYFUNCTION("""COMPUTED_VALUE"""),84.95)</f>
        <v>84.95</v>
      </c>
      <c r="F16" s="12">
        <f>IFERROR(__xludf.DUMMYFUNCTION("""COMPUTED_VALUE"""),89.98)</f>
        <v>89.98</v>
      </c>
      <c r="G16" s="12">
        <f>IFERROR(__xludf.DUMMYFUNCTION("""COMPUTED_VALUE"""),85.11)</f>
        <v>85.11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>
      <c r="A17" s="8"/>
      <c r="B17" s="9" t="str">
        <f>IFERROR(__xludf.DUMMYFUNCTION("""COMPUTED_VALUE"""),"Numero di APP locali")</f>
        <v>Numero di APP locali</v>
      </c>
      <c r="C17" s="18">
        <f>IFERROR(__xludf.DUMMYFUNCTION("""COMPUTED_VALUE"""),25.0)</f>
        <v>25</v>
      </c>
      <c r="D17" s="19" t="str">
        <f>IFERROR(__xludf.DUMMYFUNCTION("""COMPUTED_VALUE"""),"-")</f>
        <v>-</v>
      </c>
      <c r="E17" s="19">
        <f>IFERROR(__xludf.DUMMYFUNCTION("""COMPUTED_VALUE"""),3.2)</f>
        <v>3.2</v>
      </c>
      <c r="F17" s="19">
        <f>IFERROR(__xludf.DUMMYFUNCTION("""COMPUTED_VALUE"""),22.3)</f>
        <v>22.3</v>
      </c>
      <c r="G17" s="19">
        <f>IFERROR(__xludf.DUMMYFUNCTION("""COMPUTED_VALUE"""),4.4)</f>
        <v>4.4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>
      <c r="A18" s="8"/>
      <c r="B18" s="9" t="str">
        <f>IFERROR(__xludf.DUMMYFUNCTION("""COMPUTED_VALUE"""),"Media accessi SPID / utenti SPID (lepida ID)")</f>
        <v>Media accessi SPID / utenti SPID (lepida ID)</v>
      </c>
      <c r="C18" s="12">
        <f>IFERROR(__xludf.DUMMYFUNCTION("""COMPUTED_VALUE"""),139.91)</f>
        <v>139.91</v>
      </c>
      <c r="D18" s="12" t="str">
        <f>IFERROR(__xludf.DUMMYFUNCTION("""COMPUTED_VALUE"""),"-")</f>
        <v>-</v>
      </c>
      <c r="E18" s="12">
        <f>IFERROR(__xludf.DUMMYFUNCTION("""COMPUTED_VALUE"""),122.38)</f>
        <v>122.38</v>
      </c>
      <c r="F18" s="12">
        <f>IFERROR(__xludf.DUMMYFUNCTION("""COMPUTED_VALUE"""),147.33)</f>
        <v>147.33</v>
      </c>
      <c r="G18" s="12">
        <f>IFERROR(__xludf.DUMMYFUNCTION("""COMPUTED_VALUE"""),130.96)</f>
        <v>130.96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>
      <c r="A19" s="20"/>
      <c r="B19" s="9" t="str">
        <f>IFERROR(__xludf.DUMMYFUNCTION("""COMPUTED_VALUE"""),"Partecipanti a corsi PEI ON LINE ogni 1000 residenti")</f>
        <v>Partecipanti a corsi PEI ON LINE ogni 1000 residenti</v>
      </c>
      <c r="C19" s="12">
        <f>IFERROR(__xludf.DUMMYFUNCTION("""COMPUTED_VALUE"""),3.59)</f>
        <v>3.59</v>
      </c>
      <c r="D19" s="12" t="str">
        <f>IFERROR(__xludf.DUMMYFUNCTION("""COMPUTED_VALUE"""),"-")</f>
        <v>-</v>
      </c>
      <c r="E19" s="12">
        <f>IFERROR(__xludf.DUMMYFUNCTION("""COMPUTED_VALUE"""),2.46)</f>
        <v>2.46</v>
      </c>
      <c r="F19" s="12">
        <f>IFERROR(__xludf.DUMMYFUNCTION("""COMPUTED_VALUE"""),5.67)</f>
        <v>5.67</v>
      </c>
      <c r="G19" s="12">
        <f>IFERROR(__xludf.DUMMYFUNCTION("""COMPUTED_VALUE"""),4.13)</f>
        <v>4.13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>
      <c r="A20" s="21" t="s">
        <v>2</v>
      </c>
      <c r="B20" s="9" t="str">
        <f>IFERROR(__xludf.DUMMYFUNCTION("""COMPUTED_VALUE"""),"% musei connessi con tecnologia FTTH")</f>
        <v>% musei connessi con tecnologia FTTH</v>
      </c>
      <c r="C20" s="16">
        <f>IFERROR(__xludf.DUMMYFUNCTION("""COMPUTED_VALUE"""),0.65)</f>
        <v>0.65</v>
      </c>
      <c r="D20" s="14" t="str">
        <f>IFERROR(__xludf.DUMMYFUNCTION("""COMPUTED_VALUE"""),"-")</f>
        <v>-</v>
      </c>
      <c r="E20" s="16">
        <f>IFERROR(__xludf.DUMMYFUNCTION("""COMPUTED_VALUE"""),0.41)</f>
        <v>0.41</v>
      </c>
      <c r="F20" s="16">
        <f>IFERROR(__xludf.DUMMYFUNCTION("""COMPUTED_VALUE"""),0.57)</f>
        <v>0.57</v>
      </c>
      <c r="G20" s="16">
        <f>IFERROR(__xludf.DUMMYFUNCTION("""COMPUTED_VALUE"""),0.45)</f>
        <v>0.45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>
      <c r="A21" s="8"/>
      <c r="B21" s="9" t="str">
        <f>IFERROR(__xludf.DUMMYFUNCTION("""COMPUTED_VALUE"""),"% civici coperti con tecnologia FTTH")</f>
        <v>% civici coperti con tecnologia FTTH</v>
      </c>
      <c r="C21" s="16">
        <f>IFERROR(__xludf.DUMMYFUNCTION("""COMPUTED_VALUE"""),0.72)</f>
        <v>0.72</v>
      </c>
      <c r="D21" s="14" t="str">
        <f>IFERROR(__xludf.DUMMYFUNCTION("""COMPUTED_VALUE"""),"-")</f>
        <v>-</v>
      </c>
      <c r="E21" s="16">
        <f>IFERROR(__xludf.DUMMYFUNCTION("""COMPUTED_VALUE"""),0.35)</f>
        <v>0.35</v>
      </c>
      <c r="F21" s="16">
        <f>IFERROR(__xludf.DUMMYFUNCTION("""COMPUTED_VALUE"""),0.61)</f>
        <v>0.61</v>
      </c>
      <c r="G21" s="16">
        <f>IFERROR(__xludf.DUMMYFUNCTION("""COMPUTED_VALUE"""),0.37)</f>
        <v>0.37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>
      <c r="A22" s="8"/>
      <c r="B22" s="9" t="str">
        <f>IFERROR(__xludf.DUMMYFUNCTION("""COMPUTED_VALUE"""),"% aree produttive connesse sul totale delle aree produttive rilevate")</f>
        <v>% aree produttive connesse sul totale delle aree produttive rilevate</v>
      </c>
      <c r="C22" s="16">
        <f>IFERROR(__xludf.DUMMYFUNCTION("""COMPUTED_VALUE"""),1.0)</f>
        <v>1</v>
      </c>
      <c r="D22" s="14" t="str">
        <f>IFERROR(__xludf.DUMMYFUNCTION("""COMPUTED_VALUE"""),"-")</f>
        <v>-</v>
      </c>
      <c r="E22" s="16">
        <f>IFERROR(__xludf.DUMMYFUNCTION("""COMPUTED_VALUE"""),0.71)</f>
        <v>0.71</v>
      </c>
      <c r="F22" s="16">
        <f>IFERROR(__xludf.DUMMYFUNCTION("""COMPUTED_VALUE"""),0.93)</f>
        <v>0.93</v>
      </c>
      <c r="G22" s="16">
        <f>IFERROR(__xludf.DUMMYFUNCTION("""COMPUTED_VALUE"""),0.86)</f>
        <v>0.86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>
      <c r="A23" s="8"/>
      <c r="B23" s="9" t="str">
        <f>IFERROR(__xludf.DUMMYFUNCTION("""COMPUTED_VALUE"""),"Scuole connesse con BUL 1 Gbps sul totale delle scuole")</f>
        <v>Scuole connesse con BUL 1 Gbps sul totale delle scuole</v>
      </c>
      <c r="C23" s="16">
        <f>IFERROR(__xludf.DUMMYFUNCTION("""COMPUTED_VALUE"""),0.89)</f>
        <v>0.89</v>
      </c>
      <c r="D23" s="14" t="str">
        <f>IFERROR(__xludf.DUMMYFUNCTION("""COMPUTED_VALUE"""),"-")</f>
        <v>-</v>
      </c>
      <c r="E23" s="16">
        <f>IFERROR(__xludf.DUMMYFUNCTION("""COMPUTED_VALUE"""),0.79)</f>
        <v>0.79</v>
      </c>
      <c r="F23" s="16">
        <f>IFERROR(__xludf.DUMMYFUNCTION("""COMPUTED_VALUE"""),0.94)</f>
        <v>0.94</v>
      </c>
      <c r="G23" s="16">
        <f>IFERROR(__xludf.DUMMYFUNCTION("""COMPUTED_VALUE"""),0.86)</f>
        <v>0.86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>
      <c r="A24" s="8"/>
      <c r="B24" s="9" t="str">
        <f>IFERROR(__xludf.DUMMYFUNCTION("""COMPUTED_VALUE"""),"Numero totale sedi con servizio di connettività su Rete Lepida per kmq")</f>
        <v>Numero totale sedi con servizio di connettività su Rete Lepida per kmq</v>
      </c>
      <c r="C24" s="12">
        <f>IFERROR(__xludf.DUMMYFUNCTION("""COMPUTED_VALUE"""),0.45)</f>
        <v>0.45</v>
      </c>
      <c r="D24" s="12" t="str">
        <f>IFERROR(__xludf.DUMMYFUNCTION("""COMPUTED_VALUE"""),"-")</f>
        <v>-</v>
      </c>
      <c r="E24" s="12">
        <f>IFERROR(__xludf.DUMMYFUNCTION("""COMPUTED_VALUE"""),0.11)</f>
        <v>0.11</v>
      </c>
      <c r="F24" s="12">
        <f>IFERROR(__xludf.DUMMYFUNCTION("""COMPUTED_VALUE"""),0.6)</f>
        <v>0.6</v>
      </c>
      <c r="G24" s="12">
        <f>IFERROR(__xludf.DUMMYFUNCTION("""COMPUTED_VALUE"""),0.2)</f>
        <v>0.2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>
      <c r="A25" s="8"/>
      <c r="B25" s="9" t="str">
        <f>IFERROR(__xludf.DUMMYFUNCTION("""COMPUTED_VALUE"""),"Numero di access point wi-fi pubblici per 1000 abitanti rete EmiliaRomagnaWIFI")</f>
        <v>Numero di access point wi-fi pubblici per 1000 abitanti rete EmiliaRomagnaWIFI</v>
      </c>
      <c r="C25" s="12">
        <f>IFERROR(__xludf.DUMMYFUNCTION("""COMPUTED_VALUE"""),1.79)</f>
        <v>1.79</v>
      </c>
      <c r="D25" s="12" t="str">
        <f>IFERROR(__xludf.DUMMYFUNCTION("""COMPUTED_VALUE"""),"-")</f>
        <v>-</v>
      </c>
      <c r="E25" s="12">
        <f>IFERROR(__xludf.DUMMYFUNCTION("""COMPUTED_VALUE"""),1.53)</f>
        <v>1.53</v>
      </c>
      <c r="F25" s="12">
        <f>IFERROR(__xludf.DUMMYFUNCTION("""COMPUTED_VALUE"""),4.26)</f>
        <v>4.26</v>
      </c>
      <c r="G25" s="12">
        <f>IFERROR(__xludf.DUMMYFUNCTION("""COMPUTED_VALUE"""),2.88)</f>
        <v>2.88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>
      <c r="A26" s="8"/>
      <c r="B26" s="9" t="str">
        <f>IFERROR(__xludf.DUMMYFUNCTION("""COMPUTED_VALUE"""),"Abbonamenti alla banda ultra-larga (% pop. Residente - stimato su dato provinciale)")</f>
        <v>Abbonamenti alla banda ultra-larga (% pop. Residente - stimato su dato provinciale)</v>
      </c>
      <c r="C26" s="12">
        <f>IFERROR(__xludf.DUMMYFUNCTION("""COMPUTED_VALUE"""),62981.78)</f>
        <v>62981.78</v>
      </c>
      <c r="D26" s="14" t="str">
        <f>IFERROR(__xludf.DUMMYFUNCTION("""COMPUTED_VALUE"""),"-")</f>
        <v>-</v>
      </c>
      <c r="E26" s="10">
        <f>IFERROR(__xludf.DUMMYFUNCTION("""COMPUTED_VALUE"""),0.312)</f>
        <v>0.312</v>
      </c>
      <c r="F26" s="10">
        <f>IFERROR(__xludf.DUMMYFUNCTION("""COMPUTED_VALUE"""),0.297)</f>
        <v>0.297</v>
      </c>
      <c r="G26" s="10">
        <f>IFERROR(__xludf.DUMMYFUNCTION("""COMPUTED_VALUE"""),0.297)</f>
        <v>0.297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>
      <c r="A27" s="8"/>
      <c r="B27" s="9" t="str">
        <f>IFERROR(__xludf.DUMMYFUNCTION("""COMPUTED_VALUE"""),"% famiglie residenti nel Comune raggiunte da FTTH")</f>
        <v>% famiglie residenti nel Comune raggiunte da FTTH</v>
      </c>
      <c r="C27" s="16">
        <f>IFERROR(__xludf.DUMMYFUNCTION("""COMPUTED_VALUE"""),0.96)</f>
        <v>0.96</v>
      </c>
      <c r="D27" s="14" t="str">
        <f>IFERROR(__xludf.DUMMYFUNCTION("""COMPUTED_VALUE"""),"-")</f>
        <v>-</v>
      </c>
      <c r="E27" s="16">
        <f>IFERROR(__xludf.DUMMYFUNCTION("""COMPUTED_VALUE"""),0.74)</f>
        <v>0.74</v>
      </c>
      <c r="F27" s="16">
        <f>IFERROR(__xludf.DUMMYFUNCTION("""COMPUTED_VALUE"""),0.89)</f>
        <v>0.89</v>
      </c>
      <c r="G27" s="16">
        <f>IFERROR(__xludf.DUMMYFUNCTION("""COMPUTED_VALUE"""),0.74)</f>
        <v>0.74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>
      <c r="A28" s="8"/>
      <c r="B28" s="9" t="str">
        <f>IFERROR(__xludf.DUMMYFUNCTION("""COMPUTED_VALUE"""),"Unità immobiliari disponibili in vendibilità FTTH ogni 100 residenti")</f>
        <v>Unità immobiliari disponibili in vendibilità FTTH ogni 100 residenti</v>
      </c>
      <c r="C28" s="12">
        <f>IFERROR(__xludf.DUMMYFUNCTION("""COMPUTED_VALUE"""),0.0)</f>
        <v>0</v>
      </c>
      <c r="D28" s="12" t="str">
        <f>IFERROR(__xludf.DUMMYFUNCTION("""COMPUTED_VALUE"""),"-")</f>
        <v>-</v>
      </c>
      <c r="E28" s="12">
        <f>IFERROR(__xludf.DUMMYFUNCTION("""COMPUTED_VALUE"""),12.42)</f>
        <v>12.42</v>
      </c>
      <c r="F28" s="12">
        <f>IFERROR(__xludf.DUMMYFUNCTION("""COMPUTED_VALUE"""),0.55)</f>
        <v>0.55</v>
      </c>
      <c r="G28" s="12">
        <f>IFERROR(__xludf.DUMMYFUNCTION("""COMPUTED_VALUE"""),8.72)</f>
        <v>8.72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>
      <c r="A29" s="8"/>
      <c r="B29" s="9" t="str">
        <f>IFERROR(__xludf.DUMMYFUNCTION("""COMPUTED_VALUE"""),"Utenti rete emiliaromagnawifi ogni 1000 residenti")</f>
        <v>Utenti rete emiliaromagnawifi ogni 1000 residenti</v>
      </c>
      <c r="C29" s="12">
        <f>IFERROR(__xludf.DUMMYFUNCTION("""COMPUTED_VALUE"""),2282.68)</f>
        <v>2282.68</v>
      </c>
      <c r="D29" s="12" t="str">
        <f>IFERROR(__xludf.DUMMYFUNCTION("""COMPUTED_VALUE"""),"-")</f>
        <v>-</v>
      </c>
      <c r="E29" s="12">
        <f>IFERROR(__xludf.DUMMYFUNCTION("""COMPUTED_VALUE"""),2156.45)</f>
        <v>2156.45</v>
      </c>
      <c r="F29" s="12">
        <f>IFERROR(__xludf.DUMMYFUNCTION("""COMPUTED_VALUE"""),4663.52)</f>
        <v>4663.52</v>
      </c>
      <c r="G29" s="12">
        <f>IFERROR(__xludf.DUMMYFUNCTION("""COMPUTED_VALUE"""),3351.7)</f>
        <v>3351.7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>
      <c r="A30" s="8"/>
      <c r="B30" s="9" t="str">
        <f>IFERROR(__xludf.DUMMYFUNCTION("""COMPUTED_VALUE"""),"Municipio connesso in BUL 1 Gbps (Fibra)")</f>
        <v>Municipio connesso in BUL 1 Gbps (Fibra)</v>
      </c>
      <c r="C30" s="22" t="str">
        <f>IFERROR(__xludf.DUMMYFUNCTION("""COMPUTED_VALUE"""),"Sì")</f>
        <v>Sì</v>
      </c>
      <c r="D30" s="14" t="str">
        <f>IFERROR(__xludf.DUMMYFUNCTION("""COMPUTED_VALUE"""),"-")</f>
        <v>-</v>
      </c>
      <c r="E30" s="16">
        <f>IFERROR(__xludf.DUMMYFUNCTION("""COMPUTED_VALUE"""),0.98)</f>
        <v>0.98</v>
      </c>
      <c r="F30" s="16">
        <f>IFERROR(__xludf.DUMMYFUNCTION("""COMPUTED_VALUE"""),1.0)</f>
        <v>1</v>
      </c>
      <c r="G30" s="16">
        <f>IFERROR(__xludf.DUMMYFUNCTION("""COMPUTED_VALUE"""),0.97)</f>
        <v>0.97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>
      <c r="A31" s="20"/>
      <c r="B31" s="9" t="str">
        <f>IFERROR(__xludf.DUMMYFUNCTION("""COMPUTED_VALUE"""),"Sensori rete PaIOT e sensornet per kmq")</f>
        <v>Sensori rete PaIOT e sensornet per kmq</v>
      </c>
      <c r="C31" s="12">
        <f>IFERROR(__xludf.DUMMYFUNCTION("""COMPUTED_VALUE"""),0.28)</f>
        <v>0.28</v>
      </c>
      <c r="D31" s="12" t="str">
        <f>IFERROR(__xludf.DUMMYFUNCTION("""COMPUTED_VALUE"""),"-")</f>
        <v>-</v>
      </c>
      <c r="E31" s="12">
        <f>IFERROR(__xludf.DUMMYFUNCTION("""COMPUTED_VALUE"""),4.56)</f>
        <v>4.56</v>
      </c>
      <c r="F31" s="12">
        <f>IFERROR(__xludf.DUMMYFUNCTION("""COMPUTED_VALUE"""),1.22)</f>
        <v>1.22</v>
      </c>
      <c r="G31" s="12">
        <f>IFERROR(__xludf.DUMMYFUNCTION("""COMPUTED_VALUE"""),1.0)</f>
        <v>1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>
      <c r="A32" s="23" t="s">
        <v>3</v>
      </c>
      <c r="B32" s="9" t="str">
        <f>IFERROR(__xludf.DUMMYFUNCTION("""COMPUTED_VALUE"""),"Numero di spazi dell’innovazione per la crescita digitale delle imprese ogni 1000 residenti")</f>
        <v>Numero di spazi dell’innovazione per la crescita digitale delle imprese ogni 1000 residenti</v>
      </c>
      <c r="C32" s="12">
        <f>IFERROR(__xludf.DUMMYFUNCTION("""COMPUTED_VALUE"""),0.09)</f>
        <v>0.09</v>
      </c>
      <c r="D32" s="12" t="str">
        <f>IFERROR(__xludf.DUMMYFUNCTION("""COMPUTED_VALUE"""),"-")</f>
        <v>-</v>
      </c>
      <c r="E32" s="12">
        <f>IFERROR(__xludf.DUMMYFUNCTION("""COMPUTED_VALUE"""),0.05)</f>
        <v>0.05</v>
      </c>
      <c r="F32" s="12">
        <f>IFERROR(__xludf.DUMMYFUNCTION("""COMPUTED_VALUE"""),0.14)</f>
        <v>0.14</v>
      </c>
      <c r="G32" s="12">
        <f>IFERROR(__xludf.DUMMYFUNCTION("""COMPUTED_VALUE"""),0.08)</f>
        <v>0.08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>
      <c r="A33" s="8"/>
      <c r="B33" s="9" t="str">
        <f>IFERROR(__xludf.DUMMYFUNCTION("""COMPUTED_VALUE"""),"% Unità locali innovative connesse all'economia digitale sul totale UL")</f>
        <v>% Unità locali innovative connesse all'economia digitale sul totale UL</v>
      </c>
      <c r="C33" s="10">
        <f>IFERROR(__xludf.DUMMYFUNCTION("""COMPUTED_VALUE"""),0.136)</f>
        <v>0.136</v>
      </c>
      <c r="D33" s="14" t="str">
        <f>IFERROR(__xludf.DUMMYFUNCTION("""COMPUTED_VALUE"""),"-")</f>
        <v>-</v>
      </c>
      <c r="E33" s="10">
        <f>IFERROR(__xludf.DUMMYFUNCTION("""COMPUTED_VALUE"""),0.107)</f>
        <v>0.107</v>
      </c>
      <c r="F33" s="10">
        <f>IFERROR(__xludf.DUMMYFUNCTION("""COMPUTED_VALUE"""),0.128)</f>
        <v>0.128</v>
      </c>
      <c r="G33" s="10">
        <f>IFERROR(__xludf.DUMMYFUNCTION("""COMPUTED_VALUE"""),0.104)</f>
        <v>0.104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>
      <c r="A34" s="8"/>
      <c r="B34" s="9" t="str">
        <f>IFERROR(__xludf.DUMMYFUNCTION("""COMPUTED_VALUE"""),"% Unità Locali del settore ICT sul totale UL")</f>
        <v>% Unità Locali del settore ICT sul totale UL</v>
      </c>
      <c r="C34" s="10">
        <f>IFERROR(__xludf.DUMMYFUNCTION("""COMPUTED_VALUE"""),0.03)</f>
        <v>0.03</v>
      </c>
      <c r="D34" s="14" t="str">
        <f>IFERROR(__xludf.DUMMYFUNCTION("""COMPUTED_VALUE"""),"-")</f>
        <v>-</v>
      </c>
      <c r="E34" s="10">
        <f>IFERROR(__xludf.DUMMYFUNCTION("""COMPUTED_VALUE"""),0.024)</f>
        <v>0.024</v>
      </c>
      <c r="F34" s="10">
        <f>IFERROR(__xludf.DUMMYFUNCTION("""COMPUTED_VALUE"""),0.031)</f>
        <v>0.031</v>
      </c>
      <c r="G34" s="10">
        <f>IFERROR(__xludf.DUMMYFUNCTION("""COMPUTED_VALUE"""),0.026)</f>
        <v>0.026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>
      <c r="A35" s="8"/>
      <c r="B35" s="9" t="str">
        <f>IFERROR(__xludf.DUMMYFUNCTION("""COMPUTED_VALUE"""),"Percentuale imprese attive con score digital attitude significativo sul totale delle imprese attive")</f>
        <v>Percentuale imprese attive con score digital attitude significativo sul totale delle imprese attive</v>
      </c>
      <c r="C35" s="10">
        <f>IFERROR(__xludf.DUMMYFUNCTION("""COMPUTED_VALUE"""),0.1158)</f>
        <v>0.1158</v>
      </c>
      <c r="D35" s="12" t="str">
        <f>IFERROR(__xludf.DUMMYFUNCTION("""COMPUTED_VALUE"""),"-")</f>
        <v>-</v>
      </c>
      <c r="E35" s="10">
        <f>IFERROR(__xludf.DUMMYFUNCTION("""COMPUTED_VALUE"""),0.0994)</f>
        <v>0.0994</v>
      </c>
      <c r="F35" s="10">
        <f>IFERROR(__xludf.DUMMYFUNCTION("""COMPUTED_VALUE"""),0.1087)</f>
        <v>0.1087</v>
      </c>
      <c r="G35" s="10">
        <f>IFERROR(__xludf.DUMMYFUNCTION("""COMPUTED_VALUE"""),0.0986)</f>
        <v>0.0986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>
      <c r="A36" s="8"/>
      <c r="B36" s="9" t="str">
        <f>IFERROR(__xludf.DUMMYFUNCTION("""COMPUTED_VALUE"""),"Percentuale imprese femminili attive con score digital attitude significativo sul totale delle imprese femminili attive")</f>
        <v>Percentuale imprese femminili attive con score digital attitude significativo sul totale delle imprese femminili attive</v>
      </c>
      <c r="C36" s="10">
        <f>IFERROR(__xludf.DUMMYFUNCTION("""COMPUTED_VALUE"""),0.1032)</f>
        <v>0.1032</v>
      </c>
      <c r="D36" s="12" t="str">
        <f>IFERROR(__xludf.DUMMYFUNCTION("""COMPUTED_VALUE"""),"-")</f>
        <v>-</v>
      </c>
      <c r="E36" s="10">
        <f>IFERROR(__xludf.DUMMYFUNCTION("""COMPUTED_VALUE"""),0.0866)</f>
        <v>0.0866</v>
      </c>
      <c r="F36" s="10">
        <f>IFERROR(__xludf.DUMMYFUNCTION("""COMPUTED_VALUE"""),0.1035)</f>
        <v>0.1035</v>
      </c>
      <c r="G36" s="10">
        <f>IFERROR(__xludf.DUMMYFUNCTION("""COMPUTED_VALUE"""),0.0928)</f>
        <v>0.0928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>
      <c r="A37" s="8"/>
      <c r="B37" s="9" t="str">
        <f>IFERROR(__xludf.DUMMYFUNCTION("""COMPUTED_VALUE"""),"Numero start-up totali ogni 100 residenti")</f>
        <v>Numero start-up totali ogni 100 residenti</v>
      </c>
      <c r="C37" s="12">
        <f>IFERROR(__xludf.DUMMYFUNCTION("""COMPUTED_VALUE"""),0.03)</f>
        <v>0.03</v>
      </c>
      <c r="D37" s="12" t="str">
        <f>IFERROR(__xludf.DUMMYFUNCTION("""COMPUTED_VALUE"""),"-")</f>
        <v>-</v>
      </c>
      <c r="E37" s="12">
        <f>IFERROR(__xludf.DUMMYFUNCTION("""COMPUTED_VALUE"""),0.02)</f>
        <v>0.02</v>
      </c>
      <c r="F37" s="12">
        <f>IFERROR(__xludf.DUMMYFUNCTION("""COMPUTED_VALUE"""),0.03)</f>
        <v>0.03</v>
      </c>
      <c r="G37" s="12">
        <f>IFERROR(__xludf.DUMMYFUNCTION("""COMPUTED_VALUE"""),0.02)</f>
        <v>0.02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>
      <c r="A38" s="8"/>
      <c r="B38" s="9" t="str">
        <f>IFERROR(__xludf.DUMMYFUNCTION("""COMPUTED_VALUE"""),"Numero start-up femminili sull start up totali per comune")</f>
        <v>Numero start-up femminili sull start up totali per comune</v>
      </c>
      <c r="C38" s="10">
        <f>IFERROR(__xludf.DUMMYFUNCTION("""COMPUTED_VALUE"""),0.058)</f>
        <v>0.058</v>
      </c>
      <c r="D38" s="14" t="str">
        <f>IFERROR(__xludf.DUMMYFUNCTION("""COMPUTED_VALUE"""),"-")</f>
        <v>-</v>
      </c>
      <c r="E38" s="10">
        <f>IFERROR(__xludf.DUMMYFUNCTION("""COMPUTED_VALUE"""),0.091)</f>
        <v>0.091</v>
      </c>
      <c r="F38" s="10">
        <f>IFERROR(__xludf.DUMMYFUNCTION("""COMPUTED_VALUE"""),0.115)</f>
        <v>0.115</v>
      </c>
      <c r="G38" s="10">
        <f>IFERROR(__xludf.DUMMYFUNCTION("""COMPUTED_VALUE"""),0.12)</f>
        <v>0.12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>
      <c r="A39" s="8"/>
      <c r="B39" s="9" t="str">
        <f>IFERROR(__xludf.DUMMYFUNCTION("""COMPUTED_VALUE"""),"% investimenti su obiettivi digitali sul totale degli investimenti dei progetti per imprese finanziati su S3")</f>
        <v>% investimenti su obiettivi digitali sul totale degli investimenti dei progetti per imprese finanziati su S3</v>
      </c>
      <c r="C39" s="16">
        <f>IFERROR(__xludf.DUMMYFUNCTION("""COMPUTED_VALUE"""),0.54)</f>
        <v>0.54</v>
      </c>
      <c r="D39" s="14" t="str">
        <f>IFERROR(__xludf.DUMMYFUNCTION("""COMPUTED_VALUE"""),"-")</f>
        <v>-</v>
      </c>
      <c r="E39" s="16">
        <f>IFERROR(__xludf.DUMMYFUNCTION("""COMPUTED_VALUE"""),0.48)</f>
        <v>0.48</v>
      </c>
      <c r="F39" s="16">
        <f>IFERROR(__xludf.DUMMYFUNCTION("""COMPUTED_VALUE"""),0.39)</f>
        <v>0.39</v>
      </c>
      <c r="G39" s="16">
        <f>IFERROR(__xludf.DUMMYFUNCTION("""COMPUTED_VALUE"""),0.39)</f>
        <v>0.39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>
      <c r="A40" s="8"/>
      <c r="B40" s="9" t="str">
        <f>IFERROR(__xludf.DUMMYFUNCTION("""COMPUTED_VALUE"""),"Numero PMI innovative per comune ogni 100 residenti")</f>
        <v>Numero PMI innovative per comune ogni 100 residenti</v>
      </c>
      <c r="C40" s="12">
        <f>IFERROR(__xludf.DUMMYFUNCTION("""COMPUTED_VALUE"""),0.01)</f>
        <v>0.01</v>
      </c>
      <c r="D40" s="12" t="str">
        <f>IFERROR(__xludf.DUMMYFUNCTION("""COMPUTED_VALUE"""),"-")</f>
        <v>-</v>
      </c>
      <c r="E40" s="12">
        <f>IFERROR(__xludf.DUMMYFUNCTION("""COMPUTED_VALUE"""),0.0)</f>
        <v>0</v>
      </c>
      <c r="F40" s="12">
        <f>IFERROR(__xludf.DUMMYFUNCTION("""COMPUTED_VALUE"""),0.01)</f>
        <v>0.01</v>
      </c>
      <c r="G40" s="12">
        <f>IFERROR(__xludf.DUMMYFUNCTION("""COMPUTED_VALUE"""),0.01)</f>
        <v>0.01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>
      <c r="A41" s="20"/>
      <c r="B41" s="9" t="str">
        <f>IFERROR(__xludf.DUMMYFUNCTION("""COMPUTED_VALUE"""),"Numero PMI innovative femminili sul totale PMI innovative per comune")</f>
        <v>Numero PMI innovative femminili sul totale PMI innovative per comune</v>
      </c>
      <c r="C41" s="10">
        <f>IFERROR(__xludf.DUMMYFUNCTION("""COMPUTED_VALUE"""),0.077)</f>
        <v>0.077</v>
      </c>
      <c r="D41" s="14" t="str">
        <f>IFERROR(__xludf.DUMMYFUNCTION("""COMPUTED_VALUE"""),"-")</f>
        <v>-</v>
      </c>
      <c r="E41" s="10">
        <f>IFERROR(__xludf.DUMMYFUNCTION("""COMPUTED_VALUE"""),0.105)</f>
        <v>0.105</v>
      </c>
      <c r="F41" s="10">
        <f>IFERROR(__xludf.DUMMYFUNCTION("""COMPUTED_VALUE"""),0.061)</f>
        <v>0.061</v>
      </c>
      <c r="G41" s="10">
        <f>IFERROR(__xludf.DUMMYFUNCTION("""COMPUTED_VALUE"""),0.076)</f>
        <v>0.076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>
      <c r="A42" s="23" t="s">
        <v>4</v>
      </c>
      <c r="B42" s="9" t="str">
        <f>IFERROR(__xludf.DUMMYFUNCTION("""COMPUTED_VALUE"""),"Servizi on line interattivi ogni 100 maggiorenni residenti")</f>
        <v>Servizi on line interattivi ogni 100 maggiorenni residenti</v>
      </c>
      <c r="C42" s="12">
        <f>IFERROR(__xludf.DUMMYFUNCTION("""COMPUTED_VALUE"""),0.14)</f>
        <v>0.14</v>
      </c>
      <c r="D42" s="12" t="str">
        <f>IFERROR(__xludf.DUMMYFUNCTION("""COMPUTED_VALUE"""),"-")</f>
        <v>-</v>
      </c>
      <c r="E42" s="12">
        <f>IFERROR(__xludf.DUMMYFUNCTION("""COMPUTED_VALUE"""),2.23)</f>
        <v>2.23</v>
      </c>
      <c r="F42" s="12">
        <f>IFERROR(__xludf.DUMMYFUNCTION("""COMPUTED_VALUE"""),0.15)</f>
        <v>0.15</v>
      </c>
      <c r="G42" s="12">
        <f>IFERROR(__xludf.DUMMYFUNCTION("""COMPUTED_VALUE"""),1.82)</f>
        <v>1.82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>
      <c r="A43" s="8"/>
      <c r="B43" s="9" t="str">
        <f>IFERROR(__xludf.DUMMYFUNCTION("""COMPUTED_VALUE"""),"Indice di interattività dei servizi comunali")</f>
        <v>Indice di interattività dei servizi comunali</v>
      </c>
      <c r="C43" s="10">
        <f>IFERROR(__xludf.DUMMYFUNCTION("""COMPUTED_VALUE"""),0.555)</f>
        <v>0.555</v>
      </c>
      <c r="D43" s="14" t="str">
        <f>IFERROR(__xludf.DUMMYFUNCTION("""COMPUTED_VALUE"""),"-")</f>
        <v>-</v>
      </c>
      <c r="E43" s="10">
        <f>IFERROR(__xludf.DUMMYFUNCTION("""COMPUTED_VALUE"""),0.396)</f>
        <v>0.396</v>
      </c>
      <c r="F43" s="10">
        <f>IFERROR(__xludf.DUMMYFUNCTION("""COMPUTED_VALUE"""),0.509)</f>
        <v>0.509</v>
      </c>
      <c r="G43" s="10">
        <f>IFERROR(__xludf.DUMMYFUNCTION("""COMPUTED_VALUE"""),0.427)</f>
        <v>0.427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>
      <c r="A44" s="8"/>
      <c r="B44" s="9" t="str">
        <f>IFERROR(__xludf.DUMMYFUNCTION("""COMPUTED_VALUE"""),"Numero di servizi offerti dal Comune su APPIO")</f>
        <v>Numero di servizi offerti dal Comune su APPIO</v>
      </c>
      <c r="C44" s="18">
        <f>IFERROR(__xludf.DUMMYFUNCTION("""COMPUTED_VALUE"""),16.0)</f>
        <v>16</v>
      </c>
      <c r="D44" s="19" t="str">
        <f>IFERROR(__xludf.DUMMYFUNCTION("""COMPUTED_VALUE"""),"-")</f>
        <v>-</v>
      </c>
      <c r="E44" s="19">
        <f>IFERROR(__xludf.DUMMYFUNCTION("""COMPUTED_VALUE"""),36.6)</f>
        <v>36.6</v>
      </c>
      <c r="F44" s="19">
        <f>IFERROR(__xludf.DUMMYFUNCTION("""COMPUTED_VALUE"""),41.3)</f>
        <v>41.3</v>
      </c>
      <c r="G44" s="19">
        <f>IFERROR(__xludf.DUMMYFUNCTION("""COMPUTED_VALUE"""),30.5)</f>
        <v>30.5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>
      <c r="A45" s="8"/>
      <c r="B45" s="9" t="str">
        <f>IFERROR(__xludf.DUMMYFUNCTION("""COMPUTED_VALUE"""),"Numero di servizi interattivi comunali con SPID sul totale dei servizi interattivi comunali attivati")</f>
        <v>Numero di servizi interattivi comunali con SPID sul totale dei servizi interattivi comunali attivati</v>
      </c>
      <c r="C45" s="16">
        <f>IFERROR(__xludf.DUMMYFUNCTION("""COMPUTED_VALUE"""),0.93)</f>
        <v>0.93</v>
      </c>
      <c r="D45" s="14" t="str">
        <f>IFERROR(__xludf.DUMMYFUNCTION("""COMPUTED_VALUE"""),"-")</f>
        <v>-</v>
      </c>
      <c r="E45" s="16">
        <f>IFERROR(__xludf.DUMMYFUNCTION("""COMPUTED_VALUE"""),0.94)</f>
        <v>0.94</v>
      </c>
      <c r="F45" s="16">
        <f>IFERROR(__xludf.DUMMYFUNCTION("""COMPUTED_VALUE"""),0.93)</f>
        <v>0.93</v>
      </c>
      <c r="G45" s="16">
        <f>IFERROR(__xludf.DUMMYFUNCTION("""COMPUTED_VALUE"""),0.95)</f>
        <v>0.95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>
      <c r="A46" s="8"/>
      <c r="B46" s="9" t="str">
        <f>IFERROR(__xludf.DUMMYFUNCTION("""COMPUTED_VALUE"""),"Numero di servizi interattivi comunali di pagamento con piattaforma conforme pagopa sul totale dei servizi interattivi comunali di pagamento on line attivati")</f>
        <v>Numero di servizi interattivi comunali di pagamento con piattaforma conforme pagopa sul totale dei servizi interattivi comunali di pagamento on line attivati</v>
      </c>
      <c r="C46" s="16">
        <f>IFERROR(__xludf.DUMMYFUNCTION("""COMPUTED_VALUE"""),0.97)</f>
        <v>0.97</v>
      </c>
      <c r="D46" s="14" t="str">
        <f>IFERROR(__xludf.DUMMYFUNCTION("""COMPUTED_VALUE"""),"-")</f>
        <v>-</v>
      </c>
      <c r="E46" s="16">
        <f>IFERROR(__xludf.DUMMYFUNCTION("""COMPUTED_VALUE"""),0.91)</f>
        <v>0.91</v>
      </c>
      <c r="F46" s="16">
        <f>IFERROR(__xludf.DUMMYFUNCTION("""COMPUTED_VALUE"""),0.93)</f>
        <v>0.93</v>
      </c>
      <c r="G46" s="16">
        <f>IFERROR(__xludf.DUMMYFUNCTION("""COMPUTED_VALUE"""),0.93)</f>
        <v>0.93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>
      <c r="A47" s="8"/>
      <c r="B47" s="9" t="str">
        <f>IFERROR(__xludf.DUMMYFUNCTION("""COMPUTED_VALUE"""),"Servizi on line interattivi dedicati alle imprese ogni 100 imprese attive")</f>
        <v>Servizi on line interattivi dedicati alle imprese ogni 100 imprese attive</v>
      </c>
      <c r="C47" s="12">
        <f>IFERROR(__xludf.DUMMYFUNCTION("""COMPUTED_VALUE"""),0.37)</f>
        <v>0.37</v>
      </c>
      <c r="D47" s="12" t="str">
        <f>IFERROR(__xludf.DUMMYFUNCTION("""COMPUTED_VALUE"""),"-")</f>
        <v>-</v>
      </c>
      <c r="E47" s="12">
        <f>IFERROR(__xludf.DUMMYFUNCTION("""COMPUTED_VALUE"""),6.74)</f>
        <v>6.74</v>
      </c>
      <c r="F47" s="12">
        <f>IFERROR(__xludf.DUMMYFUNCTION("""COMPUTED_VALUE"""),0.4)</f>
        <v>0.4</v>
      </c>
      <c r="G47" s="12">
        <f>IFERROR(__xludf.DUMMYFUNCTION("""COMPUTED_VALUE"""),5.06)</f>
        <v>5.06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>
      <c r="A48" s="8"/>
      <c r="B48" s="9" t="str">
        <f>IFERROR(__xludf.DUMMYFUNCTION("""COMPUTED_VALUE"""),"Open Data: numero di dataset pubblicati")</f>
        <v>Open Data: numero di dataset pubblicati</v>
      </c>
      <c r="C48" s="14">
        <f>IFERROR(__xludf.DUMMYFUNCTION("""COMPUTED_VALUE"""),66.0)</f>
        <v>66</v>
      </c>
      <c r="D48" s="14" t="str">
        <f>IFERROR(__xludf.DUMMYFUNCTION("""COMPUTED_VALUE"""),"-")</f>
        <v>-</v>
      </c>
      <c r="E48" s="14">
        <f>IFERROR(__xludf.DUMMYFUNCTION("""COMPUTED_VALUE"""),1.64)</f>
        <v>1.64</v>
      </c>
      <c r="F48" s="14">
        <f>IFERROR(__xludf.DUMMYFUNCTION("""COMPUTED_VALUE"""),202.7)</f>
        <v>202.7</v>
      </c>
      <c r="G48" s="14">
        <f>IFERROR(__xludf.DUMMYFUNCTION("""COMPUTED_VALUE"""),9.13)</f>
        <v>9.13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>
      <c r="A49" s="8"/>
      <c r="B49" s="9" t="str">
        <f>IFERROR(__xludf.DUMMYFUNCTION("""COMPUTED_VALUE"""),"Audio - video delle sedute comunali")</f>
        <v>Audio - video delle sedute comunali</v>
      </c>
      <c r="C49" s="22" t="str">
        <f>IFERROR(__xludf.DUMMYFUNCTION("""COMPUTED_VALUE"""),"Sì")</f>
        <v>Sì</v>
      </c>
      <c r="D49" s="14" t="str">
        <f>IFERROR(__xludf.DUMMYFUNCTION("""COMPUTED_VALUE"""),"-")</f>
        <v>-</v>
      </c>
      <c r="E49" s="16">
        <f>IFERROR(__xludf.DUMMYFUNCTION("""COMPUTED_VALUE"""),0.55)</f>
        <v>0.55</v>
      </c>
      <c r="F49" s="16">
        <f>IFERROR(__xludf.DUMMYFUNCTION("""COMPUTED_VALUE"""),1.0)</f>
        <v>1</v>
      </c>
      <c r="G49" s="16">
        <f>IFERROR(__xludf.DUMMYFUNCTION("""COMPUTED_VALUE"""),0.59)</f>
        <v>0.59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>
      <c r="A50" s="8"/>
      <c r="B50" s="9" t="str">
        <f>IFERROR(__xludf.DUMMYFUNCTION("""COMPUTED_VALUE"""),"SUAP DIGITALIZZATO (sia invio che pagamento on line)")</f>
        <v>SUAP DIGITALIZZATO (sia invio che pagamento on line)</v>
      </c>
      <c r="C50" s="16">
        <f>IFERROR(__xludf.DUMMYFUNCTION("""COMPUTED_VALUE"""),1.0)</f>
        <v>1</v>
      </c>
      <c r="D50" s="14" t="str">
        <f>IFERROR(__xludf.DUMMYFUNCTION("""COMPUTED_VALUE"""),"-")</f>
        <v>-</v>
      </c>
      <c r="E50" s="16">
        <f>IFERROR(__xludf.DUMMYFUNCTION("""COMPUTED_VALUE"""),0.9)</f>
        <v>0.9</v>
      </c>
      <c r="F50" s="16">
        <f>IFERROR(__xludf.DUMMYFUNCTION("""COMPUTED_VALUE"""),0.85)</f>
        <v>0.85</v>
      </c>
      <c r="G50" s="16">
        <f>IFERROR(__xludf.DUMMYFUNCTION("""COMPUTED_VALUE"""),0.87)</f>
        <v>0.87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>
      <c r="A51" s="8"/>
      <c r="B51" s="9" t="str">
        <f>IFERROR(__xludf.DUMMYFUNCTION("""COMPUTED_VALUE"""),"Comuni con sezioni open data e che permettono interrogazioni API, SPRQL o scarico BULK")</f>
        <v>Comuni con sezioni open data e che permettono interrogazioni API, SPRQL o scarico BULK</v>
      </c>
      <c r="C51" s="22" t="str">
        <f>IFERROR(__xludf.DUMMYFUNCTION("""COMPUTED_VALUE"""),"Sì")</f>
        <v>Sì</v>
      </c>
      <c r="D51" s="14" t="str">
        <f>IFERROR(__xludf.DUMMYFUNCTION("""COMPUTED_VALUE"""),"-")</f>
        <v>-</v>
      </c>
      <c r="E51" s="16">
        <f>IFERROR(__xludf.DUMMYFUNCTION("""COMPUTED_VALUE"""),0.03)</f>
        <v>0.03</v>
      </c>
      <c r="F51" s="16">
        <f>IFERROR(__xludf.DUMMYFUNCTION("""COMPUTED_VALUE"""),0.95)</f>
        <v>0.95</v>
      </c>
      <c r="G51" s="16">
        <f>IFERROR(__xludf.DUMMYFUNCTION("""COMPUTED_VALUE"""),0.24)</f>
        <v>0.24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>
      <c r="A52" s="8"/>
      <c r="B52" s="9" t="str">
        <f>IFERROR(__xludf.DUMMYFUNCTION("""COMPUTED_VALUE"""),"Indice di Biblioteca comunale come punto di diffusione della conoscenza digitale")</f>
        <v>Indice di Biblioteca comunale come punto di diffusione della conoscenza digitale</v>
      </c>
      <c r="C52" s="16">
        <f>IFERROR(__xludf.DUMMYFUNCTION("""COMPUTED_VALUE"""),0.6)</f>
        <v>0.6</v>
      </c>
      <c r="D52" s="14" t="str">
        <f>IFERROR(__xludf.DUMMYFUNCTION("""COMPUTED_VALUE"""),"-")</f>
        <v>-</v>
      </c>
      <c r="E52" s="16">
        <f>IFERROR(__xludf.DUMMYFUNCTION("""COMPUTED_VALUE"""),0.58)</f>
        <v>0.58</v>
      </c>
      <c r="F52" s="16">
        <f>IFERROR(__xludf.DUMMYFUNCTION("""COMPUTED_VALUE"""),0.66)</f>
        <v>0.66</v>
      </c>
      <c r="G52" s="16">
        <f>IFERROR(__xludf.DUMMYFUNCTION("""COMPUTED_VALUE"""),0.69)</f>
        <v>0.69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>
      <c r="A53" s="8"/>
      <c r="B53" s="9" t="str">
        <f>IFERROR(__xludf.DUMMYFUNCTION("""COMPUTED_VALUE"""),"Numero di servizi interattivi di ANPR utilizzati ogni 1000 residenti maggiorenni")</f>
        <v>Numero di servizi interattivi di ANPR utilizzati ogni 1000 residenti maggiorenni</v>
      </c>
      <c r="C53" s="12">
        <f>IFERROR(__xludf.DUMMYFUNCTION("""COMPUTED_VALUE"""),1143.37)</f>
        <v>1143.37</v>
      </c>
      <c r="D53" s="12" t="str">
        <f>IFERROR(__xludf.DUMMYFUNCTION("""COMPUTED_VALUE"""),"-")</f>
        <v>-</v>
      </c>
      <c r="E53" s="12">
        <f>IFERROR(__xludf.DUMMYFUNCTION("""COMPUTED_VALUE"""),835.92)</f>
        <v>835.92</v>
      </c>
      <c r="F53" s="12">
        <f>IFERROR(__xludf.DUMMYFUNCTION("""COMPUTED_VALUE"""),1028.05)</f>
        <v>1028.05</v>
      </c>
      <c r="G53" s="12">
        <f>IFERROR(__xludf.DUMMYFUNCTION("""COMPUTED_VALUE"""),808.78)</f>
        <v>808.78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>
      <c r="A54" s="8"/>
      <c r="B54" s="9" t="str">
        <f>IFERROR(__xludf.DUMMYFUNCTION("""COMPUTED_VALUE"""),"Utenti SPID (rilasciati da LepidaID) ogni 100 maggiorenni residenti")</f>
        <v>Utenti SPID (rilasciati da LepidaID) ogni 100 maggiorenni residenti</v>
      </c>
      <c r="C54" s="12">
        <f>IFERROR(__xludf.DUMMYFUNCTION("""COMPUTED_VALUE"""),39.04)</f>
        <v>39.04</v>
      </c>
      <c r="D54" s="12" t="str">
        <f>IFERROR(__xludf.DUMMYFUNCTION("""COMPUTED_VALUE"""),"-")</f>
        <v>-</v>
      </c>
      <c r="E54" s="12">
        <f>IFERROR(__xludf.DUMMYFUNCTION("""COMPUTED_VALUE"""),35.76)</f>
        <v>35.76</v>
      </c>
      <c r="F54" s="12">
        <f>IFERROR(__xludf.DUMMYFUNCTION("""COMPUTED_VALUE"""),38.95)</f>
        <v>38.95</v>
      </c>
      <c r="G54" s="12">
        <f>IFERROR(__xludf.DUMMYFUNCTION("""COMPUTED_VALUE"""),38.01)</f>
        <v>38.01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>
      <c r="A55" s="8"/>
      <c r="B55" s="9" t="str">
        <f>IFERROR(__xludf.DUMMYFUNCTION("""COMPUTED_VALUE"""),"Media di utilizzo on line pratiche SUAP (invio con piattaforma e/o pec)")</f>
        <v>Media di utilizzo on line pratiche SUAP (invio con piattaforma e/o pec)</v>
      </c>
      <c r="C55" s="16">
        <f>IFERROR(__xludf.DUMMYFUNCTION("""COMPUTED_VALUE"""),1.0)</f>
        <v>1</v>
      </c>
      <c r="D55" s="14" t="str">
        <f>IFERROR(__xludf.DUMMYFUNCTION("""COMPUTED_VALUE"""),"-")</f>
        <v>-</v>
      </c>
      <c r="E55" s="16">
        <f>IFERROR(__xludf.DUMMYFUNCTION("""COMPUTED_VALUE"""),1.0)</f>
        <v>1</v>
      </c>
      <c r="F55" s="16">
        <f>IFERROR(__xludf.DUMMYFUNCTION("""COMPUTED_VALUE"""),0.99)</f>
        <v>0.99</v>
      </c>
      <c r="G55" s="16">
        <f>IFERROR(__xludf.DUMMYFUNCTION("""COMPUTED_VALUE"""),0.98)</f>
        <v>0.98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>
      <c r="A56" s="8"/>
      <c r="B56" s="9" t="str">
        <f>IFERROR(__xludf.DUMMYFUNCTION("""COMPUTED_VALUE"""),"Sportelli di riconoscimento SPID lepidaID ogni 1000 residenti maggiorenni")</f>
        <v>Sportelli di riconoscimento SPID lepidaID ogni 1000 residenti maggiorenni</v>
      </c>
      <c r="C56" s="12">
        <f>IFERROR(__xludf.DUMMYFUNCTION("""COMPUTED_VALUE"""),0.26)</f>
        <v>0.26</v>
      </c>
      <c r="D56" s="12" t="str">
        <f>IFERROR(__xludf.DUMMYFUNCTION("""COMPUTED_VALUE"""),"-")</f>
        <v>-</v>
      </c>
      <c r="E56" s="12">
        <f>IFERROR(__xludf.DUMMYFUNCTION("""COMPUTED_VALUE"""),0.39)</f>
        <v>0.39</v>
      </c>
      <c r="F56" s="12">
        <f>IFERROR(__xludf.DUMMYFUNCTION("""COMPUTED_VALUE"""),0.26)</f>
        <v>0.26</v>
      </c>
      <c r="G56" s="12">
        <f>IFERROR(__xludf.DUMMYFUNCTION("""COMPUTED_VALUE"""),0.39)</f>
        <v>0.39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>
      <c r="A57" s="8"/>
      <c r="B57" s="9" t="str">
        <f>IFERROR(__xludf.DUMMYFUNCTION("""COMPUTED_VALUE"""),"Numero di comunità tematiche partecipate dal comune (direttamente o tramite unione)")</f>
        <v>Numero di comunità tematiche partecipate dal comune (direttamente o tramite unione)</v>
      </c>
      <c r="C57" s="18">
        <f>IFERROR(__xludf.DUMMYFUNCTION("""COMPUTED_VALUE"""),10.0)</f>
        <v>10</v>
      </c>
      <c r="D57" s="18" t="str">
        <f>IFERROR(__xludf.DUMMYFUNCTION("""COMPUTED_VALUE"""),"-")</f>
        <v>-</v>
      </c>
      <c r="E57" s="18">
        <f>IFERROR(__xludf.DUMMYFUNCTION("""COMPUTED_VALUE"""),2.0)</f>
        <v>2</v>
      </c>
      <c r="F57" s="18">
        <f>IFERROR(__xludf.DUMMYFUNCTION("""COMPUTED_VALUE"""),9.0)</f>
        <v>9</v>
      </c>
      <c r="G57" s="18">
        <f>IFERROR(__xludf.DUMMYFUNCTION("""COMPUTED_VALUE"""),5.0)</f>
        <v>5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>
      <c r="A58" s="8"/>
      <c r="B58" s="9" t="str">
        <f>IFERROR(__xludf.DUMMYFUNCTION("""COMPUTED_VALUE"""),"Responsabile transizione digitale RTD nominato (comune)")</f>
        <v>Responsabile transizione digitale RTD nominato (comune)</v>
      </c>
      <c r="C58" s="22" t="str">
        <f>IFERROR(__xludf.DUMMYFUNCTION("""COMPUTED_VALUE"""),"Sì")</f>
        <v>Sì</v>
      </c>
      <c r="D58" s="14" t="str">
        <f>IFERROR(__xludf.DUMMYFUNCTION("""COMPUTED_VALUE"""),"-")</f>
        <v>-</v>
      </c>
      <c r="E58" s="16">
        <f>IFERROR(__xludf.DUMMYFUNCTION("""COMPUTED_VALUE"""),1.0)</f>
        <v>1</v>
      </c>
      <c r="F58" s="16">
        <f>IFERROR(__xludf.DUMMYFUNCTION("""COMPUTED_VALUE"""),1.0)</f>
        <v>1</v>
      </c>
      <c r="G58" s="16">
        <f>IFERROR(__xludf.DUMMYFUNCTION("""COMPUTED_VALUE"""),1.0)</f>
        <v>1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>
      <c r="A59" s="8"/>
      <c r="B59" s="9" t="str">
        <f>IFERROR(__xludf.DUMMYFUNCTION("""COMPUTED_VALUE"""),"Media accessi per utenti attivi su FSE")</f>
        <v>Media accessi per utenti attivi su FSE</v>
      </c>
      <c r="C59" s="12">
        <f>IFERROR(__xludf.DUMMYFUNCTION("""COMPUTED_VALUE"""),49.33)</f>
        <v>49.33</v>
      </c>
      <c r="D59" s="12" t="str">
        <f>IFERROR(__xludf.DUMMYFUNCTION("""COMPUTED_VALUE"""),"-")</f>
        <v>-</v>
      </c>
      <c r="E59" s="12">
        <f>IFERROR(__xludf.DUMMYFUNCTION("""COMPUTED_VALUE"""),45.1)</f>
        <v>45.1</v>
      </c>
      <c r="F59" s="12">
        <f>IFERROR(__xludf.DUMMYFUNCTION("""COMPUTED_VALUE"""),59.6)</f>
        <v>59.6</v>
      </c>
      <c r="G59" s="12">
        <f>IFERROR(__xludf.DUMMYFUNCTION("""COMPUTED_VALUE"""),62.36)</f>
        <v>62.36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>
      <c r="A60" s="8"/>
      <c r="B60" s="9" t="str">
        <f>IFERROR(__xludf.DUMMYFUNCTION("""COMPUTED_VALUE"""),"Indice di ""museo digitale""")</f>
        <v>Indice di "museo digitale"</v>
      </c>
      <c r="C60" s="10">
        <f>IFERROR(__xludf.DUMMYFUNCTION("""COMPUTED_VALUE"""),0.718)</f>
        <v>0.718</v>
      </c>
      <c r="D60" s="14" t="str">
        <f>IFERROR(__xludf.DUMMYFUNCTION("""COMPUTED_VALUE"""),"-")</f>
        <v>-</v>
      </c>
      <c r="E60" s="10">
        <f>IFERROR(__xludf.DUMMYFUNCTION("""COMPUTED_VALUE"""),0.656)</f>
        <v>0.656</v>
      </c>
      <c r="F60" s="10">
        <f>IFERROR(__xludf.DUMMYFUNCTION("""COMPUTED_VALUE"""),0.661)</f>
        <v>0.661</v>
      </c>
      <c r="G60" s="10">
        <f>IFERROR(__xludf.DUMMYFUNCTION("""COMPUTED_VALUE"""),0.585)</f>
        <v>0.585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>
      <c r="A61" s="20"/>
      <c r="B61" s="9" t="str">
        <f>IFERROR(__xludf.DUMMYFUNCTION("""COMPUTED_VALUE"""),"Media documenti scaricati per utenti attivi su FSE")</f>
        <v>Media documenti scaricati per utenti attivi su FSE</v>
      </c>
      <c r="C61" s="12">
        <f>IFERROR(__xludf.DUMMYFUNCTION("""COMPUTED_VALUE"""),76.87)</f>
        <v>76.87</v>
      </c>
      <c r="D61" s="12" t="str">
        <f>IFERROR(__xludf.DUMMYFUNCTION("""COMPUTED_VALUE"""),"-")</f>
        <v>-</v>
      </c>
      <c r="E61" s="12">
        <f>IFERROR(__xludf.DUMMYFUNCTION("""COMPUTED_VALUE"""),69.83)</f>
        <v>69.83</v>
      </c>
      <c r="F61" s="12">
        <f>IFERROR(__xludf.DUMMYFUNCTION("""COMPUTED_VALUE"""),82.27)</f>
        <v>82.27</v>
      </c>
      <c r="G61" s="12">
        <f>IFERROR(__xludf.DUMMYFUNCTION("""COMPUTED_VALUE"""),78.35)</f>
        <v>78.35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>
      <c r="A62" s="25"/>
      <c r="B62" s="26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>
      <c r="A63" s="25"/>
      <c r="B63" s="26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>
      <c r="A64" s="25"/>
      <c r="B64" s="26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>
      <c r="A65" s="25"/>
      <c r="B65" s="26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>
      <c r="A66" s="25"/>
      <c r="B66" s="26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>
      <c r="A67" s="25"/>
      <c r="B67" s="26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>
      <c r="A68" s="25"/>
      <c r="B68" s="26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>
      <c r="A69" s="25"/>
      <c r="B69" s="26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>
      <c r="A70" s="25"/>
      <c r="B70" s="26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>
      <c r="A71" s="25"/>
      <c r="B71" s="26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>
      <c r="A72" s="25"/>
      <c r="B72" s="26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>
      <c r="A73" s="25"/>
      <c r="B73" s="26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>
      <c r="A74" s="25"/>
      <c r="B74" s="26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>
      <c r="A75" s="25"/>
      <c r="B75" s="26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>
      <c r="A76" s="25"/>
      <c r="B76" s="26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>
      <c r="A77" s="25"/>
      <c r="B77" s="26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>
      <c r="A78" s="25"/>
      <c r="B78" s="26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>
      <c r="A79" s="25"/>
      <c r="B79" s="26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>
      <c r="A80" s="25"/>
      <c r="B80" s="26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>
      <c r="A81" s="25"/>
      <c r="B81" s="26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>
      <c r="A82" s="25"/>
      <c r="B82" s="26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>
      <c r="A83" s="25"/>
      <c r="B83" s="26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>
      <c r="A84" s="25"/>
      <c r="B84" s="26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>
      <c r="A85" s="25"/>
      <c r="B85" s="26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>
      <c r="A86" s="25"/>
      <c r="B86" s="26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>
      <c r="A87" s="25"/>
      <c r="B87" s="26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>
      <c r="A88" s="25"/>
      <c r="B88" s="26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>
      <c r="A89" s="25"/>
      <c r="B89" s="26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>
      <c r="A90" s="25"/>
      <c r="B90" s="26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>
      <c r="A91" s="25"/>
      <c r="B91" s="26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>
      <c r="A92" s="25"/>
      <c r="B92" s="26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>
      <c r="A93" s="25"/>
      <c r="B93" s="26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>
      <c r="A94" s="25"/>
      <c r="B94" s="26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>
      <c r="A95" s="25"/>
      <c r="B95" s="26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>
      <c r="A96" s="25"/>
      <c r="B96" s="26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>
      <c r="A97" s="25"/>
      <c r="B97" s="26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>
      <c r="A98" s="25"/>
      <c r="B98" s="26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>
      <c r="A99" s="25"/>
      <c r="B99" s="26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>
      <c r="A100" s="25"/>
      <c r="B100" s="26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>
      <c r="A101" s="25"/>
      <c r="B101" s="26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>
      <c r="A102" s="25"/>
      <c r="B102" s="26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>
      <c r="A103" s="25"/>
      <c r="B103" s="26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>
      <c r="A104" s="25"/>
      <c r="B104" s="26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>
      <c r="A105" s="25"/>
      <c r="B105" s="26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>
      <c r="A106" s="25"/>
      <c r="B106" s="26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>
      <c r="A107" s="25"/>
      <c r="B107" s="26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>
      <c r="A108" s="25"/>
      <c r="B108" s="26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>
      <c r="A109" s="25"/>
      <c r="B109" s="26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>
      <c r="A110" s="25"/>
      <c r="B110" s="26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>
      <c r="A111" s="25"/>
      <c r="B111" s="26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>
      <c r="A112" s="25"/>
      <c r="B112" s="26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>
      <c r="A113" s="25"/>
      <c r="B113" s="26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>
      <c r="A114" s="25"/>
      <c r="B114" s="26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>
      <c r="A115" s="25"/>
      <c r="B115" s="26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>
      <c r="A116" s="25"/>
      <c r="B116" s="26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>
      <c r="A117" s="25"/>
      <c r="B117" s="26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>
      <c r="A118" s="25"/>
      <c r="B118" s="26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>
      <c r="A119" s="25"/>
      <c r="B119" s="26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>
      <c r="A120" s="25"/>
      <c r="B120" s="26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>
      <c r="A121" s="25"/>
      <c r="B121" s="26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>
      <c r="A122" s="25"/>
      <c r="B122" s="26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>
      <c r="A123" s="25"/>
      <c r="B123" s="26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>
      <c r="A124" s="25"/>
      <c r="B124" s="26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>
      <c r="A125" s="25"/>
      <c r="B125" s="26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>
      <c r="A126" s="25"/>
      <c r="B126" s="26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>
      <c r="A127" s="25"/>
      <c r="B127" s="26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>
      <c r="A128" s="25"/>
      <c r="B128" s="26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>
      <c r="A129" s="25"/>
      <c r="B129" s="26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>
      <c r="A130" s="25"/>
      <c r="B130" s="26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>
      <c r="A131" s="25"/>
      <c r="B131" s="26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>
      <c r="A132" s="25"/>
      <c r="B132" s="26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>
      <c r="A133" s="25"/>
      <c r="B133" s="26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>
      <c r="A134" s="25"/>
      <c r="B134" s="26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>
      <c r="A135" s="25"/>
      <c r="B135" s="26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>
      <c r="A136" s="25"/>
      <c r="B136" s="26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>
      <c r="A137" s="25"/>
      <c r="B137" s="26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>
      <c r="A138" s="25"/>
      <c r="B138" s="26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>
      <c r="A139" s="25"/>
      <c r="B139" s="26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>
      <c r="A140" s="25"/>
      <c r="B140" s="26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>
      <c r="A141" s="25"/>
      <c r="B141" s="26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>
      <c r="A142" s="25"/>
      <c r="B142" s="26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>
      <c r="A143" s="25"/>
      <c r="B143" s="26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>
      <c r="A144" s="25"/>
      <c r="B144" s="26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>
      <c r="A145" s="25"/>
      <c r="B145" s="26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>
      <c r="A146" s="25"/>
      <c r="B146" s="26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>
      <c r="A147" s="25"/>
      <c r="B147" s="26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>
      <c r="A148" s="25"/>
      <c r="B148" s="26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>
      <c r="A149" s="25"/>
      <c r="B149" s="26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>
      <c r="A150" s="25"/>
      <c r="B150" s="26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>
      <c r="A151" s="25"/>
      <c r="B151" s="26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>
      <c r="A152" s="25"/>
      <c r="B152" s="26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>
      <c r="A153" s="25"/>
      <c r="B153" s="26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>
      <c r="A154" s="25"/>
      <c r="B154" s="26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>
      <c r="A155" s="25"/>
      <c r="B155" s="26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>
      <c r="A156" s="25"/>
      <c r="B156" s="26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>
      <c r="A157" s="25"/>
      <c r="B157" s="26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>
      <c r="A158" s="25"/>
      <c r="B158" s="26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>
      <c r="A159" s="25"/>
      <c r="B159" s="26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>
      <c r="A160" s="25"/>
      <c r="B160" s="26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>
      <c r="A161" s="25"/>
      <c r="B161" s="26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>
      <c r="A162" s="25"/>
      <c r="B162" s="26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>
      <c r="A163" s="25"/>
      <c r="B163" s="26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>
      <c r="A164" s="25"/>
      <c r="B164" s="26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>
      <c r="A165" s="25"/>
      <c r="B165" s="26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>
      <c r="A166" s="25"/>
      <c r="B166" s="26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>
      <c r="A167" s="25"/>
      <c r="B167" s="26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>
      <c r="A168" s="25"/>
      <c r="B168" s="26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>
      <c r="A169" s="25"/>
      <c r="B169" s="26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>
      <c r="A170" s="25"/>
      <c r="B170" s="26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>
      <c r="A171" s="25"/>
      <c r="B171" s="26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>
      <c r="A172" s="25"/>
      <c r="B172" s="26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>
      <c r="A173" s="25"/>
      <c r="B173" s="26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>
      <c r="A174" s="25"/>
      <c r="B174" s="26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>
      <c r="A175" s="25"/>
      <c r="B175" s="26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>
      <c r="A176" s="25"/>
      <c r="B176" s="26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>
      <c r="A177" s="25"/>
      <c r="B177" s="26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>
      <c r="A178" s="25"/>
      <c r="B178" s="26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>
      <c r="A179" s="25"/>
      <c r="B179" s="26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>
      <c r="A180" s="25"/>
      <c r="B180" s="26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>
      <c r="A181" s="25"/>
      <c r="B181" s="26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>
      <c r="A182" s="25"/>
      <c r="B182" s="26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>
      <c r="A183" s="25"/>
      <c r="B183" s="26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>
      <c r="A184" s="25"/>
      <c r="B184" s="26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>
      <c r="A185" s="25"/>
      <c r="B185" s="26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>
      <c r="A186" s="25"/>
      <c r="B186" s="26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>
      <c r="A187" s="25"/>
      <c r="B187" s="26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>
      <c r="A188" s="25"/>
      <c r="B188" s="26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>
      <c r="A189" s="25"/>
      <c r="B189" s="26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>
      <c r="A190" s="25"/>
      <c r="B190" s="26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>
      <c r="A191" s="25"/>
      <c r="B191" s="26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>
      <c r="A192" s="25"/>
      <c r="B192" s="26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>
      <c r="A193" s="25"/>
      <c r="B193" s="26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>
      <c r="A194" s="25"/>
      <c r="B194" s="26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>
      <c r="A195" s="25"/>
      <c r="B195" s="26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>
      <c r="A196" s="25"/>
      <c r="B196" s="26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>
      <c r="A197" s="25"/>
      <c r="B197" s="26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>
      <c r="A198" s="25"/>
      <c r="B198" s="26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>
      <c r="A199" s="25"/>
      <c r="B199" s="26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>
      <c r="A200" s="25"/>
      <c r="B200" s="26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>
      <c r="A201" s="25"/>
      <c r="B201" s="26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>
      <c r="A202" s="25"/>
      <c r="B202" s="26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>
      <c r="A203" s="25"/>
      <c r="B203" s="26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>
      <c r="A204" s="25"/>
      <c r="B204" s="26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>
      <c r="A205" s="25"/>
      <c r="B205" s="26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>
      <c r="A206" s="25"/>
      <c r="B206" s="26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>
      <c r="A207" s="25"/>
      <c r="B207" s="26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>
      <c r="A208" s="25"/>
      <c r="B208" s="26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>
      <c r="A209" s="25"/>
      <c r="B209" s="26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>
      <c r="A210" s="25"/>
      <c r="B210" s="26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>
      <c r="A211" s="25"/>
      <c r="B211" s="26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>
      <c r="A212" s="25"/>
      <c r="B212" s="26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>
      <c r="A213" s="25"/>
      <c r="B213" s="26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>
      <c r="A214" s="25"/>
      <c r="B214" s="26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>
      <c r="A215" s="25"/>
      <c r="B215" s="26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>
      <c r="A216" s="25"/>
      <c r="B216" s="26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>
      <c r="A217" s="25"/>
      <c r="B217" s="26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>
      <c r="A218" s="25"/>
      <c r="B218" s="26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>
      <c r="A219" s="25"/>
      <c r="B219" s="26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>
      <c r="A220" s="25"/>
      <c r="B220" s="26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>
      <c r="A221" s="25"/>
      <c r="B221" s="26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>
      <c r="A222" s="25"/>
      <c r="B222" s="26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>
      <c r="A223" s="25"/>
      <c r="B223" s="26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>
      <c r="A224" s="25"/>
      <c r="B224" s="26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>
      <c r="A225" s="25"/>
      <c r="B225" s="26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>
      <c r="A226" s="25"/>
      <c r="B226" s="26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>
      <c r="A227" s="25"/>
      <c r="B227" s="26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>
      <c r="A228" s="25"/>
      <c r="B228" s="26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>
      <c r="A229" s="25"/>
      <c r="B229" s="26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>
      <c r="A230" s="25"/>
      <c r="B230" s="26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>
      <c r="A231" s="25"/>
      <c r="B231" s="26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>
      <c r="A232" s="25"/>
      <c r="B232" s="26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>
      <c r="A233" s="25"/>
      <c r="B233" s="26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>
      <c r="A234" s="25"/>
      <c r="B234" s="26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>
      <c r="A235" s="25"/>
      <c r="B235" s="26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>
      <c r="A236" s="25"/>
      <c r="B236" s="26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>
      <c r="A237" s="25"/>
      <c r="B237" s="26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>
      <c r="A238" s="25"/>
      <c r="B238" s="26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>
      <c r="A239" s="25"/>
      <c r="B239" s="26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>
      <c r="A240" s="25"/>
      <c r="B240" s="26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>
      <c r="A241" s="25"/>
      <c r="B241" s="26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>
      <c r="A242" s="25"/>
      <c r="B242" s="26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>
      <c r="A243" s="25"/>
      <c r="B243" s="26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>
      <c r="A244" s="25"/>
      <c r="B244" s="26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>
      <c r="A245" s="25"/>
      <c r="B245" s="26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>
      <c r="A246" s="25"/>
      <c r="B246" s="26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>
      <c r="A247" s="25"/>
      <c r="B247" s="26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>
      <c r="A248" s="25"/>
      <c r="B248" s="26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>
      <c r="A249" s="25"/>
      <c r="B249" s="26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>
      <c r="A250" s="25"/>
      <c r="B250" s="26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>
      <c r="A251" s="25"/>
      <c r="B251" s="26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>
      <c r="A252" s="25"/>
      <c r="B252" s="26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>
      <c r="A253" s="25"/>
      <c r="B253" s="26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>
      <c r="A254" s="25"/>
      <c r="B254" s="26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>
      <c r="A255" s="25"/>
      <c r="B255" s="26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>
      <c r="A256" s="25"/>
      <c r="B256" s="26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>
      <c r="A257" s="25"/>
      <c r="B257" s="26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>
      <c r="A258" s="25"/>
      <c r="B258" s="26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>
      <c r="A259" s="25"/>
      <c r="B259" s="26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>
      <c r="A260" s="25"/>
      <c r="B260" s="26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>
      <c r="A261" s="25"/>
      <c r="B261" s="26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>
      <c r="A262" s="25"/>
      <c r="B262" s="26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>
      <c r="A263" s="25"/>
      <c r="B263" s="26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>
      <c r="A264" s="25"/>
      <c r="B264" s="26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>
      <c r="A265" s="25"/>
      <c r="B265" s="26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>
      <c r="A266" s="25"/>
      <c r="B266" s="26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>
      <c r="A267" s="25"/>
      <c r="B267" s="26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>
      <c r="A268" s="25"/>
      <c r="B268" s="26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>
      <c r="A269" s="25"/>
      <c r="B269" s="26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>
      <c r="A270" s="25"/>
      <c r="B270" s="26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>
      <c r="A271" s="25"/>
      <c r="B271" s="26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>
      <c r="A272" s="25"/>
      <c r="B272" s="26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>
      <c r="A273" s="25"/>
      <c r="B273" s="26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>
      <c r="A274" s="25"/>
      <c r="B274" s="26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>
      <c r="A275" s="25"/>
      <c r="B275" s="26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>
      <c r="A276" s="25"/>
      <c r="B276" s="26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>
      <c r="A277" s="25"/>
      <c r="B277" s="26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>
      <c r="A278" s="25"/>
      <c r="B278" s="26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>
      <c r="A279" s="25"/>
      <c r="B279" s="26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>
      <c r="A280" s="25"/>
      <c r="B280" s="26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>
      <c r="A281" s="25"/>
      <c r="B281" s="26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>
      <c r="A282" s="25"/>
      <c r="B282" s="26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>
      <c r="A283" s="25"/>
      <c r="B283" s="26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>
      <c r="A284" s="25"/>
      <c r="B284" s="26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>
      <c r="A285" s="25"/>
      <c r="B285" s="26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>
      <c r="A286" s="25"/>
      <c r="B286" s="26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>
      <c r="A287" s="25"/>
      <c r="B287" s="26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>
      <c r="A288" s="25"/>
      <c r="B288" s="26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>
      <c r="A289" s="25"/>
      <c r="B289" s="26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>
      <c r="A290" s="25"/>
      <c r="B290" s="26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>
      <c r="A291" s="25"/>
      <c r="B291" s="26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>
      <c r="A292" s="25"/>
      <c r="B292" s="26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>
      <c r="A293" s="25"/>
      <c r="B293" s="26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>
      <c r="A294" s="25"/>
      <c r="B294" s="26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>
      <c r="A295" s="25"/>
      <c r="B295" s="26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>
      <c r="A296" s="25"/>
      <c r="B296" s="26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>
      <c r="A297" s="25"/>
      <c r="B297" s="26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>
      <c r="A298" s="25"/>
      <c r="B298" s="26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>
      <c r="A299" s="25"/>
      <c r="B299" s="26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>
      <c r="A300" s="25"/>
      <c r="B300" s="26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>
      <c r="A301" s="25"/>
      <c r="B301" s="26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>
      <c r="A302" s="25"/>
      <c r="B302" s="26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>
      <c r="A303" s="25"/>
      <c r="B303" s="26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>
      <c r="A304" s="25"/>
      <c r="B304" s="26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>
      <c r="A305" s="25"/>
      <c r="B305" s="26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>
      <c r="A306" s="25"/>
      <c r="B306" s="26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>
      <c r="A307" s="25"/>
      <c r="B307" s="26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>
      <c r="A308" s="25"/>
      <c r="B308" s="26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>
      <c r="A309" s="25"/>
      <c r="B309" s="26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>
      <c r="A310" s="25"/>
      <c r="B310" s="26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>
      <c r="A311" s="25"/>
      <c r="B311" s="26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>
      <c r="A312" s="25"/>
      <c r="B312" s="26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>
      <c r="A313" s="25"/>
      <c r="B313" s="26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>
      <c r="A314" s="25"/>
      <c r="B314" s="26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>
      <c r="A315" s="25"/>
      <c r="B315" s="26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>
      <c r="A316" s="25"/>
      <c r="B316" s="26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>
      <c r="A317" s="25"/>
      <c r="B317" s="26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>
      <c r="A318" s="25"/>
      <c r="B318" s="26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>
      <c r="A319" s="25"/>
      <c r="B319" s="26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>
      <c r="A320" s="25"/>
      <c r="B320" s="26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>
      <c r="A321" s="25"/>
      <c r="B321" s="26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>
      <c r="A322" s="25"/>
      <c r="B322" s="26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>
      <c r="A323" s="25"/>
      <c r="B323" s="26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>
      <c r="A324" s="25"/>
      <c r="B324" s="26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>
      <c r="A325" s="25"/>
      <c r="B325" s="26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>
      <c r="A326" s="25"/>
      <c r="B326" s="26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>
      <c r="A327" s="25"/>
      <c r="B327" s="26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>
      <c r="A328" s="25"/>
      <c r="B328" s="26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>
      <c r="A329" s="25"/>
      <c r="B329" s="26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>
      <c r="A330" s="25"/>
      <c r="B330" s="26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>
      <c r="A331" s="25"/>
      <c r="B331" s="26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>
      <c r="A332" s="25"/>
      <c r="B332" s="26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>
      <c r="A333" s="25"/>
      <c r="B333" s="26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>
      <c r="A334" s="25"/>
      <c r="B334" s="26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>
      <c r="A335" s="25"/>
      <c r="B335" s="26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>
      <c r="A336" s="25"/>
      <c r="B336" s="26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>
      <c r="A337" s="25"/>
      <c r="B337" s="26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>
      <c r="A338" s="25"/>
      <c r="B338" s="26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>
      <c r="A339" s="25"/>
      <c r="B339" s="26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>
      <c r="A340" s="25"/>
      <c r="B340" s="26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>
      <c r="A341" s="25"/>
      <c r="B341" s="26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>
      <c r="A342" s="25"/>
      <c r="B342" s="26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>
      <c r="A343" s="25"/>
      <c r="B343" s="26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>
      <c r="A344" s="25"/>
      <c r="B344" s="26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>
      <c r="A345" s="25"/>
      <c r="B345" s="26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>
      <c r="A346" s="25"/>
      <c r="B346" s="26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>
      <c r="A347" s="25"/>
      <c r="B347" s="26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>
      <c r="A348" s="25"/>
      <c r="B348" s="26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>
      <c r="A349" s="25"/>
      <c r="B349" s="26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>
      <c r="A350" s="25"/>
      <c r="B350" s="26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>
      <c r="A351" s="25"/>
      <c r="B351" s="26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>
      <c r="A352" s="25"/>
      <c r="B352" s="26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>
      <c r="A353" s="25"/>
      <c r="B353" s="26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>
      <c r="A354" s="25"/>
      <c r="B354" s="26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>
      <c r="A355" s="25"/>
      <c r="B355" s="26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>
      <c r="A356" s="25"/>
      <c r="B356" s="26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>
      <c r="A357" s="25"/>
      <c r="B357" s="26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>
      <c r="A358" s="25"/>
      <c r="B358" s="26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>
      <c r="A359" s="25"/>
      <c r="B359" s="26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>
      <c r="A360" s="25"/>
      <c r="B360" s="26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>
      <c r="A361" s="25"/>
      <c r="B361" s="26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>
      <c r="A362" s="25"/>
      <c r="B362" s="26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>
      <c r="A363" s="25"/>
      <c r="B363" s="26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>
      <c r="A364" s="25"/>
      <c r="B364" s="26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>
      <c r="A365" s="25"/>
      <c r="B365" s="26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>
      <c r="A366" s="25"/>
      <c r="B366" s="26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>
      <c r="A367" s="25"/>
      <c r="B367" s="26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>
      <c r="A368" s="25"/>
      <c r="B368" s="26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>
      <c r="A369" s="25"/>
      <c r="B369" s="26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>
      <c r="A370" s="25"/>
      <c r="B370" s="26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>
      <c r="A371" s="25"/>
      <c r="B371" s="26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>
      <c r="A372" s="25"/>
      <c r="B372" s="26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>
      <c r="A373" s="25"/>
      <c r="B373" s="26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>
      <c r="A374" s="25"/>
      <c r="B374" s="26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>
      <c r="A375" s="25"/>
      <c r="B375" s="26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>
      <c r="A376" s="25"/>
      <c r="B376" s="26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>
      <c r="A377" s="25"/>
      <c r="B377" s="26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>
      <c r="A378" s="25"/>
      <c r="B378" s="26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>
      <c r="A379" s="25"/>
      <c r="B379" s="26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>
      <c r="A380" s="25"/>
      <c r="B380" s="26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>
      <c r="A381" s="25"/>
      <c r="B381" s="26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>
      <c r="A382" s="25"/>
      <c r="B382" s="26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>
      <c r="A383" s="25"/>
      <c r="B383" s="26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>
      <c r="A384" s="25"/>
      <c r="B384" s="26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>
      <c r="A385" s="25"/>
      <c r="B385" s="26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>
      <c r="A386" s="25"/>
      <c r="B386" s="26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>
      <c r="A387" s="25"/>
      <c r="B387" s="26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>
      <c r="A388" s="25"/>
      <c r="B388" s="26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>
      <c r="A389" s="25"/>
      <c r="B389" s="26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>
      <c r="A390" s="25"/>
      <c r="B390" s="26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>
      <c r="A391" s="25"/>
      <c r="B391" s="26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>
      <c r="A392" s="25"/>
      <c r="B392" s="26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>
      <c r="A393" s="25"/>
      <c r="B393" s="26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>
      <c r="A394" s="25"/>
      <c r="B394" s="26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>
      <c r="A395" s="25"/>
      <c r="B395" s="26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>
      <c r="A396" s="25"/>
      <c r="B396" s="26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>
      <c r="A397" s="25"/>
      <c r="B397" s="26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>
      <c r="A398" s="25"/>
      <c r="B398" s="26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>
      <c r="A399" s="25"/>
      <c r="B399" s="26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>
      <c r="A400" s="25"/>
      <c r="B400" s="26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>
      <c r="A401" s="25"/>
      <c r="B401" s="26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>
      <c r="A402" s="25"/>
      <c r="B402" s="26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>
      <c r="A403" s="25"/>
      <c r="B403" s="26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>
      <c r="A404" s="25"/>
      <c r="B404" s="26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>
      <c r="A405" s="25"/>
      <c r="B405" s="26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>
      <c r="A406" s="25"/>
      <c r="B406" s="26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>
      <c r="A407" s="25"/>
      <c r="B407" s="26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>
      <c r="A408" s="25"/>
      <c r="B408" s="26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>
      <c r="A409" s="25"/>
      <c r="B409" s="26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>
      <c r="A410" s="25"/>
      <c r="B410" s="26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>
      <c r="A411" s="25"/>
      <c r="B411" s="26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>
      <c r="A412" s="25"/>
      <c r="B412" s="26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>
      <c r="A413" s="25"/>
      <c r="B413" s="26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>
      <c r="A414" s="25"/>
      <c r="B414" s="26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>
      <c r="A415" s="25"/>
      <c r="B415" s="26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>
      <c r="A416" s="25"/>
      <c r="B416" s="26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>
      <c r="A417" s="25"/>
      <c r="B417" s="26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>
      <c r="A418" s="25"/>
      <c r="B418" s="26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>
      <c r="A419" s="25"/>
      <c r="B419" s="26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>
      <c r="A420" s="25"/>
      <c r="B420" s="26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>
      <c r="A421" s="25"/>
      <c r="B421" s="26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>
      <c r="A422" s="25"/>
      <c r="B422" s="26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>
      <c r="A423" s="25"/>
      <c r="B423" s="26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>
      <c r="A424" s="25"/>
      <c r="B424" s="26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>
      <c r="A425" s="25"/>
      <c r="B425" s="26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>
      <c r="A426" s="25"/>
      <c r="B426" s="26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>
      <c r="A427" s="25"/>
      <c r="B427" s="26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>
      <c r="A428" s="25"/>
      <c r="B428" s="26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>
      <c r="A429" s="25"/>
      <c r="B429" s="26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>
      <c r="A430" s="25"/>
      <c r="B430" s="26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>
      <c r="A431" s="25"/>
      <c r="B431" s="26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>
      <c r="A432" s="25"/>
      <c r="B432" s="26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>
      <c r="A433" s="25"/>
      <c r="B433" s="26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>
      <c r="A434" s="25"/>
      <c r="B434" s="26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>
      <c r="A435" s="25"/>
      <c r="B435" s="26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>
      <c r="A436" s="25"/>
      <c r="B436" s="26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>
      <c r="A437" s="25"/>
      <c r="B437" s="26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>
      <c r="A438" s="25"/>
      <c r="B438" s="26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>
      <c r="A439" s="25"/>
      <c r="B439" s="26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>
      <c r="A440" s="25"/>
      <c r="B440" s="26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>
      <c r="A441" s="25"/>
      <c r="B441" s="26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>
      <c r="A442" s="25"/>
      <c r="B442" s="26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>
      <c r="A443" s="25"/>
      <c r="B443" s="26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>
      <c r="A444" s="25"/>
      <c r="B444" s="26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>
      <c r="A445" s="25"/>
      <c r="B445" s="26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>
      <c r="A446" s="25"/>
      <c r="B446" s="26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>
      <c r="A447" s="25"/>
      <c r="B447" s="26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>
      <c r="A448" s="25"/>
      <c r="B448" s="26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>
      <c r="A449" s="25"/>
      <c r="B449" s="26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>
      <c r="A450" s="25"/>
      <c r="B450" s="26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>
      <c r="A451" s="25"/>
      <c r="B451" s="26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>
      <c r="A452" s="25"/>
      <c r="B452" s="26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>
      <c r="A453" s="25"/>
      <c r="B453" s="26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>
      <c r="A454" s="25"/>
      <c r="B454" s="26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>
      <c r="A455" s="25"/>
      <c r="B455" s="26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>
      <c r="A456" s="25"/>
      <c r="B456" s="26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>
      <c r="A457" s="25"/>
      <c r="B457" s="26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>
      <c r="A458" s="25"/>
      <c r="B458" s="26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>
      <c r="A459" s="25"/>
      <c r="B459" s="26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>
      <c r="A460" s="25"/>
      <c r="B460" s="26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>
      <c r="A461" s="25"/>
      <c r="B461" s="26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>
      <c r="A462" s="25"/>
      <c r="B462" s="26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>
      <c r="A463" s="25"/>
      <c r="B463" s="26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>
      <c r="A464" s="25"/>
      <c r="B464" s="26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>
      <c r="A465" s="25"/>
      <c r="B465" s="26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>
      <c r="A466" s="25"/>
      <c r="B466" s="26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>
      <c r="A467" s="25"/>
      <c r="B467" s="26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>
      <c r="A468" s="25"/>
      <c r="B468" s="26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>
      <c r="A469" s="25"/>
      <c r="B469" s="26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>
      <c r="A470" s="25"/>
      <c r="B470" s="26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>
      <c r="A471" s="25"/>
      <c r="B471" s="26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>
      <c r="A472" s="25"/>
      <c r="B472" s="26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>
      <c r="A473" s="25"/>
      <c r="B473" s="26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>
      <c r="A474" s="25"/>
      <c r="B474" s="26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>
      <c r="A475" s="25"/>
      <c r="B475" s="26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>
      <c r="A476" s="25"/>
      <c r="B476" s="26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>
      <c r="A477" s="25"/>
      <c r="B477" s="26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>
      <c r="A478" s="25"/>
      <c r="B478" s="26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>
      <c r="A479" s="25"/>
      <c r="B479" s="26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>
      <c r="A480" s="25"/>
      <c r="B480" s="26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>
      <c r="A481" s="25"/>
      <c r="B481" s="26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>
      <c r="A482" s="25"/>
      <c r="B482" s="26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>
      <c r="A483" s="25"/>
      <c r="B483" s="26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>
      <c r="A484" s="25"/>
      <c r="B484" s="26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>
      <c r="A485" s="25"/>
      <c r="B485" s="26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>
      <c r="A486" s="25"/>
      <c r="B486" s="26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>
      <c r="A487" s="25"/>
      <c r="B487" s="26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>
      <c r="A488" s="25"/>
      <c r="B488" s="26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>
      <c r="A489" s="25"/>
      <c r="B489" s="26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>
      <c r="A490" s="25"/>
      <c r="B490" s="26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>
      <c r="A491" s="25"/>
      <c r="B491" s="26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>
      <c r="A492" s="25"/>
      <c r="B492" s="26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>
      <c r="A493" s="25"/>
      <c r="B493" s="26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>
      <c r="A494" s="25"/>
      <c r="B494" s="26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>
      <c r="A495" s="25"/>
      <c r="B495" s="26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>
      <c r="A496" s="25"/>
      <c r="B496" s="26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>
      <c r="A497" s="25"/>
      <c r="B497" s="26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>
      <c r="A498" s="25"/>
      <c r="B498" s="26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>
      <c r="A499" s="25"/>
      <c r="B499" s="26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>
      <c r="A500" s="25"/>
      <c r="B500" s="26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>
      <c r="A501" s="25"/>
      <c r="B501" s="26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>
      <c r="A502" s="25"/>
      <c r="B502" s="26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>
      <c r="A503" s="25"/>
      <c r="B503" s="26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>
      <c r="A504" s="25"/>
      <c r="B504" s="26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>
      <c r="A505" s="25"/>
      <c r="B505" s="26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>
      <c r="A506" s="25"/>
      <c r="B506" s="26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>
      <c r="A507" s="25"/>
      <c r="B507" s="26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>
      <c r="A508" s="25"/>
      <c r="B508" s="26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>
      <c r="A509" s="25"/>
      <c r="B509" s="26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>
      <c r="A510" s="25"/>
      <c r="B510" s="26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>
      <c r="A511" s="25"/>
      <c r="B511" s="26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>
      <c r="A512" s="25"/>
      <c r="B512" s="26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>
      <c r="A513" s="25"/>
      <c r="B513" s="26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>
      <c r="A514" s="25"/>
      <c r="B514" s="26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>
      <c r="A515" s="25"/>
      <c r="B515" s="26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>
      <c r="A516" s="25"/>
      <c r="B516" s="26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>
      <c r="A517" s="25"/>
      <c r="B517" s="26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>
      <c r="A518" s="25"/>
      <c r="B518" s="26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>
      <c r="A519" s="25"/>
      <c r="B519" s="26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>
      <c r="A520" s="25"/>
      <c r="B520" s="26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>
      <c r="A521" s="25"/>
      <c r="B521" s="26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>
      <c r="A522" s="25"/>
      <c r="B522" s="26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>
      <c r="A523" s="25"/>
      <c r="B523" s="26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>
      <c r="A524" s="25"/>
      <c r="B524" s="26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>
      <c r="A525" s="25"/>
      <c r="B525" s="26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>
      <c r="A526" s="25"/>
      <c r="B526" s="26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>
      <c r="A527" s="25"/>
      <c r="B527" s="26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>
      <c r="A528" s="25"/>
      <c r="B528" s="26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>
      <c r="A529" s="25"/>
      <c r="B529" s="26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>
      <c r="A530" s="25"/>
      <c r="B530" s="26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>
      <c r="A531" s="25"/>
      <c r="B531" s="26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>
      <c r="A532" s="25"/>
      <c r="B532" s="26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>
      <c r="A533" s="25"/>
      <c r="B533" s="26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>
      <c r="A534" s="25"/>
      <c r="B534" s="26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>
      <c r="A535" s="25"/>
      <c r="B535" s="26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>
      <c r="A536" s="25"/>
      <c r="B536" s="26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>
      <c r="A537" s="25"/>
      <c r="B537" s="26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>
      <c r="A538" s="25"/>
      <c r="B538" s="26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>
      <c r="A539" s="25"/>
      <c r="B539" s="26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>
      <c r="A540" s="25"/>
      <c r="B540" s="26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>
      <c r="A541" s="25"/>
      <c r="B541" s="26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>
      <c r="A542" s="25"/>
      <c r="B542" s="26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>
      <c r="A543" s="25"/>
      <c r="B543" s="26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>
      <c r="A544" s="25"/>
      <c r="B544" s="26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>
      <c r="A545" s="25"/>
      <c r="B545" s="26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>
      <c r="A546" s="25"/>
      <c r="B546" s="26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>
      <c r="A547" s="25"/>
      <c r="B547" s="26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>
      <c r="A548" s="25"/>
      <c r="B548" s="26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>
      <c r="A549" s="25"/>
      <c r="B549" s="26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>
      <c r="A550" s="25"/>
      <c r="B550" s="26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>
      <c r="A551" s="25"/>
      <c r="B551" s="26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>
      <c r="A552" s="25"/>
      <c r="B552" s="26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>
      <c r="A553" s="25"/>
      <c r="B553" s="26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>
      <c r="A554" s="25"/>
      <c r="B554" s="26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>
      <c r="A555" s="25"/>
      <c r="B555" s="26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>
      <c r="A556" s="25"/>
      <c r="B556" s="26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>
      <c r="A557" s="25"/>
      <c r="B557" s="26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>
      <c r="A558" s="25"/>
      <c r="B558" s="26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>
      <c r="A559" s="25"/>
      <c r="B559" s="26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>
      <c r="A560" s="25"/>
      <c r="B560" s="26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>
      <c r="A561" s="25"/>
      <c r="B561" s="26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>
      <c r="A562" s="25"/>
      <c r="B562" s="26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</sheetData>
  <mergeCells count="4">
    <mergeCell ref="A2:A19"/>
    <mergeCell ref="A20:A31"/>
    <mergeCell ref="A32:A41"/>
    <mergeCell ref="A42:A61"/>
  </mergeCells>
  <drawing r:id="rId1"/>
</worksheet>
</file>